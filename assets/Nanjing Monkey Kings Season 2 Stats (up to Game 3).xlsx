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kus\Desktop\Men's League Stats\"/>
    </mc:Choice>
  </mc:AlternateContent>
  <xr:revisionPtr revIDLastSave="0" documentId="13_ncr:1_{D5ECF06D-C64C-4146-8483-07CA4A63D787}" xr6:coauthVersionLast="47" xr6:coauthVersionMax="47" xr10:uidLastSave="{00000000-0000-0000-0000-000000000000}"/>
  <bookViews>
    <workbookView xWindow="33720" yWindow="-120" windowWidth="29040" windowHeight="16440" activeTab="6" xr2:uid="{00000000-000D-0000-FFFF-FFFF00000000}"/>
  </bookViews>
  <sheets>
    <sheet name="Roster" sheetId="1" r:id="rId1"/>
    <sheet name="Game 1 Stats Sheet" sheetId="2" r:id="rId2"/>
    <sheet name="Game 2 Stats Sheet" sheetId="9" r:id="rId3"/>
    <sheet name="Game 3 Stats Sheet" sheetId="8" r:id="rId4"/>
    <sheet name="Player Game Log" sheetId="3" r:id="rId5"/>
    <sheet name="Team Game Log" sheetId="4" r:id="rId6"/>
    <sheet name="Season Summary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3" l="1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4" i="3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11" i="8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11" i="9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11" i="2"/>
  <c r="O6" i="9"/>
  <c r="P6" i="9"/>
  <c r="Q6" i="9"/>
  <c r="R6" i="9"/>
  <c r="S6" i="9"/>
  <c r="T6" i="9"/>
  <c r="U6" i="9"/>
  <c r="T30" i="9"/>
  <c r="R30" i="9"/>
  <c r="Q30" i="9"/>
  <c r="P30" i="9"/>
  <c r="C30" i="9"/>
  <c r="B30" i="9"/>
  <c r="T29" i="9"/>
  <c r="R29" i="9"/>
  <c r="Q29" i="9"/>
  <c r="P29" i="9"/>
  <c r="C29" i="9"/>
  <c r="B29" i="9"/>
  <c r="T28" i="9"/>
  <c r="R28" i="9"/>
  <c r="Q28" i="9"/>
  <c r="P28" i="9"/>
  <c r="C28" i="9"/>
  <c r="B28" i="9"/>
  <c r="T27" i="9"/>
  <c r="R27" i="9"/>
  <c r="Q27" i="9"/>
  <c r="P27" i="9"/>
  <c r="C27" i="9"/>
  <c r="B27" i="9"/>
  <c r="T26" i="9"/>
  <c r="R26" i="9"/>
  <c r="Q26" i="9"/>
  <c r="P26" i="9"/>
  <c r="C26" i="9"/>
  <c r="B26" i="9"/>
  <c r="T25" i="9"/>
  <c r="R25" i="9"/>
  <c r="Q25" i="9"/>
  <c r="P25" i="9"/>
  <c r="C25" i="9"/>
  <c r="B25" i="9"/>
  <c r="T24" i="9"/>
  <c r="R24" i="9"/>
  <c r="Q24" i="9"/>
  <c r="P24" i="9"/>
  <c r="C24" i="9"/>
  <c r="B24" i="9"/>
  <c r="T23" i="9"/>
  <c r="R23" i="9"/>
  <c r="Q23" i="9"/>
  <c r="P23" i="9"/>
  <c r="C23" i="9"/>
  <c r="B23" i="9"/>
  <c r="T22" i="9"/>
  <c r="R22" i="9"/>
  <c r="Q22" i="9"/>
  <c r="P22" i="9"/>
  <c r="C22" i="9"/>
  <c r="B22" i="9"/>
  <c r="T21" i="9"/>
  <c r="R21" i="9"/>
  <c r="Q21" i="9"/>
  <c r="P21" i="9"/>
  <c r="C21" i="9"/>
  <c r="B21" i="9"/>
  <c r="T20" i="9"/>
  <c r="R20" i="9"/>
  <c r="Q20" i="9"/>
  <c r="P20" i="9"/>
  <c r="C20" i="9"/>
  <c r="B20" i="9"/>
  <c r="T19" i="9"/>
  <c r="R19" i="9"/>
  <c r="Q19" i="9"/>
  <c r="P19" i="9"/>
  <c r="C19" i="9"/>
  <c r="B19" i="9"/>
  <c r="T18" i="9"/>
  <c r="R18" i="9"/>
  <c r="Q18" i="9"/>
  <c r="P18" i="9"/>
  <c r="C18" i="9"/>
  <c r="B18" i="9"/>
  <c r="T17" i="9"/>
  <c r="R17" i="9"/>
  <c r="Q17" i="9"/>
  <c r="P17" i="9"/>
  <c r="C17" i="9"/>
  <c r="B17" i="9"/>
  <c r="T16" i="9"/>
  <c r="R16" i="9"/>
  <c r="Q16" i="9"/>
  <c r="P16" i="9"/>
  <c r="C16" i="9"/>
  <c r="B16" i="9"/>
  <c r="T15" i="9"/>
  <c r="R15" i="9"/>
  <c r="Q15" i="9"/>
  <c r="P15" i="9"/>
  <c r="C15" i="9"/>
  <c r="B15" i="9"/>
  <c r="T14" i="9"/>
  <c r="R14" i="9"/>
  <c r="Q14" i="9"/>
  <c r="P14" i="9"/>
  <c r="C14" i="9"/>
  <c r="B14" i="9"/>
  <c r="T13" i="9"/>
  <c r="R13" i="9"/>
  <c r="Q13" i="9"/>
  <c r="P13" i="9"/>
  <c r="C13" i="9"/>
  <c r="B13" i="9"/>
  <c r="T12" i="9"/>
  <c r="R12" i="9"/>
  <c r="Q12" i="9"/>
  <c r="P12" i="9"/>
  <c r="C12" i="9"/>
  <c r="B12" i="9"/>
  <c r="T11" i="9"/>
  <c r="R11" i="9"/>
  <c r="Q11" i="9"/>
  <c r="P11" i="9"/>
  <c r="C11" i="9"/>
  <c r="B11" i="9"/>
  <c r="F7" i="9"/>
  <c r="E7" i="9"/>
  <c r="D7" i="9"/>
  <c r="N6" i="9"/>
  <c r="O7" i="9" s="1"/>
  <c r="M6" i="9"/>
  <c r="L6" i="9"/>
  <c r="K6" i="9"/>
  <c r="J6" i="9"/>
  <c r="I6" i="9"/>
  <c r="H6" i="9"/>
  <c r="F6" i="9"/>
  <c r="E6" i="9"/>
  <c r="D6" i="9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4" i="4"/>
  <c r="U6" i="8"/>
  <c r="T30" i="8"/>
  <c r="R30" i="8"/>
  <c r="Q30" i="8"/>
  <c r="P30" i="8"/>
  <c r="C30" i="8"/>
  <c r="B30" i="8"/>
  <c r="T29" i="8"/>
  <c r="R29" i="8"/>
  <c r="Q29" i="8"/>
  <c r="P29" i="8"/>
  <c r="C29" i="8"/>
  <c r="B29" i="8"/>
  <c r="T28" i="8"/>
  <c r="R28" i="8"/>
  <c r="Q28" i="8"/>
  <c r="P28" i="8"/>
  <c r="C28" i="8"/>
  <c r="B28" i="8"/>
  <c r="T27" i="8"/>
  <c r="R27" i="8"/>
  <c r="Q27" i="8"/>
  <c r="P27" i="8"/>
  <c r="C27" i="8"/>
  <c r="B27" i="8"/>
  <c r="T26" i="8"/>
  <c r="R26" i="8"/>
  <c r="Q26" i="8"/>
  <c r="P26" i="8"/>
  <c r="C26" i="8"/>
  <c r="B26" i="8"/>
  <c r="T25" i="8"/>
  <c r="R25" i="8"/>
  <c r="Q25" i="8"/>
  <c r="P25" i="8"/>
  <c r="C25" i="8"/>
  <c r="B25" i="8"/>
  <c r="T24" i="8"/>
  <c r="R24" i="8"/>
  <c r="Q24" i="8"/>
  <c r="P24" i="8"/>
  <c r="C24" i="8"/>
  <c r="B24" i="8"/>
  <c r="T23" i="8"/>
  <c r="R23" i="8"/>
  <c r="Q23" i="8"/>
  <c r="P23" i="8"/>
  <c r="C23" i="8"/>
  <c r="B23" i="8"/>
  <c r="T22" i="8"/>
  <c r="R22" i="8"/>
  <c r="Q22" i="8"/>
  <c r="P22" i="8"/>
  <c r="C22" i="8"/>
  <c r="B22" i="8"/>
  <c r="T21" i="8"/>
  <c r="R21" i="8"/>
  <c r="Q21" i="8"/>
  <c r="P21" i="8"/>
  <c r="C21" i="8"/>
  <c r="B21" i="8"/>
  <c r="T20" i="8"/>
  <c r="R20" i="8"/>
  <c r="Q20" i="8"/>
  <c r="P20" i="8"/>
  <c r="C20" i="8"/>
  <c r="B20" i="8"/>
  <c r="T19" i="8"/>
  <c r="R19" i="8"/>
  <c r="Q19" i="8"/>
  <c r="P19" i="8"/>
  <c r="C19" i="8"/>
  <c r="B19" i="8"/>
  <c r="T18" i="8"/>
  <c r="R18" i="8"/>
  <c r="Q18" i="8"/>
  <c r="P18" i="8"/>
  <c r="C18" i="8"/>
  <c r="B18" i="8"/>
  <c r="T17" i="8"/>
  <c r="R17" i="8"/>
  <c r="Q17" i="8"/>
  <c r="P17" i="8"/>
  <c r="C17" i="8"/>
  <c r="B17" i="8"/>
  <c r="T16" i="8"/>
  <c r="R16" i="8"/>
  <c r="Q16" i="8"/>
  <c r="P16" i="8"/>
  <c r="C16" i="8"/>
  <c r="B16" i="8"/>
  <c r="T15" i="8"/>
  <c r="R15" i="8"/>
  <c r="Q15" i="8"/>
  <c r="P15" i="8"/>
  <c r="C15" i="8"/>
  <c r="B15" i="8"/>
  <c r="T14" i="8"/>
  <c r="R14" i="8"/>
  <c r="Q14" i="8"/>
  <c r="P14" i="8"/>
  <c r="C14" i="8"/>
  <c r="B14" i="8"/>
  <c r="T13" i="8"/>
  <c r="R13" i="8"/>
  <c r="Q13" i="8"/>
  <c r="P13" i="8"/>
  <c r="C13" i="8"/>
  <c r="B13" i="8"/>
  <c r="T12" i="8"/>
  <c r="R12" i="8"/>
  <c r="Q12" i="8"/>
  <c r="P12" i="8"/>
  <c r="C12" i="8"/>
  <c r="B12" i="8"/>
  <c r="T11" i="8"/>
  <c r="R11" i="8"/>
  <c r="Q11" i="8"/>
  <c r="P11" i="8"/>
  <c r="C11" i="8"/>
  <c r="B11" i="8"/>
  <c r="F7" i="8"/>
  <c r="E7" i="8"/>
  <c r="D7" i="8"/>
  <c r="T6" i="8"/>
  <c r="S6" i="8"/>
  <c r="R6" i="8"/>
  <c r="Q6" i="8"/>
  <c r="P6" i="8"/>
  <c r="O6" i="8"/>
  <c r="N6" i="8"/>
  <c r="M6" i="8"/>
  <c r="L6" i="8"/>
  <c r="K6" i="8"/>
  <c r="J6" i="8"/>
  <c r="I6" i="8"/>
  <c r="H6" i="8"/>
  <c r="F6" i="8"/>
  <c r="E6" i="8"/>
  <c r="D6" i="8"/>
  <c r="C35" i="5"/>
  <c r="D35" i="5" a="1"/>
  <c r="C28" i="2"/>
  <c r="C29" i="2"/>
  <c r="C30" i="2"/>
  <c r="P14" i="2"/>
  <c r="R4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5" i="4"/>
  <c r="AB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4" i="4"/>
  <c r="Q6" i="2"/>
  <c r="R6" i="2"/>
  <c r="S6" i="2"/>
  <c r="T6" i="2"/>
  <c r="P6" i="2"/>
  <c r="O6" i="2"/>
  <c r="N6" i="2"/>
  <c r="O7" i="2" s="1"/>
  <c r="M6" i="2"/>
  <c r="L6" i="2"/>
  <c r="M7" i="2" s="1"/>
  <c r="J6" i="2"/>
  <c r="K6" i="2"/>
  <c r="I6" i="2"/>
  <c r="H6" i="2"/>
  <c r="I7" i="2" s="1"/>
  <c r="C37" i="5"/>
  <c r="D37" i="5" s="1" a="1"/>
  <c r="B37" i="5"/>
  <c r="A37" i="5"/>
  <c r="C36" i="5"/>
  <c r="D36" i="5" s="1" a="1"/>
  <c r="B36" i="5"/>
  <c r="A36" i="5"/>
  <c r="B35" i="5"/>
  <c r="A35" i="5"/>
  <c r="C34" i="5"/>
  <c r="D34" i="5" s="1" a="1"/>
  <c r="B34" i="5"/>
  <c r="A34" i="5"/>
  <c r="C33" i="5"/>
  <c r="D33" i="5" s="1" a="1"/>
  <c r="B33" i="5"/>
  <c r="A33" i="5"/>
  <c r="C32" i="5"/>
  <c r="D32" i="5" s="1" a="1"/>
  <c r="B32" i="5"/>
  <c r="A32" i="5"/>
  <c r="C31" i="5"/>
  <c r="D31" i="5" s="1" a="1"/>
  <c r="B31" i="5"/>
  <c r="A31" i="5"/>
  <c r="C30" i="5"/>
  <c r="D30" i="5" s="1" a="1"/>
  <c r="B30" i="5"/>
  <c r="A30" i="5"/>
  <c r="C29" i="5"/>
  <c r="D29" i="5" s="1" a="1"/>
  <c r="B29" i="5"/>
  <c r="A29" i="5"/>
  <c r="C28" i="5"/>
  <c r="D28" i="5" s="1" a="1"/>
  <c r="B28" i="5"/>
  <c r="A28" i="5"/>
  <c r="C27" i="5"/>
  <c r="D27" i="5" s="1" a="1"/>
  <c r="B27" i="5"/>
  <c r="A27" i="5"/>
  <c r="C26" i="5"/>
  <c r="D26" i="5" s="1" a="1"/>
  <c r="B26" i="5"/>
  <c r="A26" i="5"/>
  <c r="C25" i="5"/>
  <c r="D25" i="5" s="1" a="1"/>
  <c r="B25" i="5"/>
  <c r="A25" i="5"/>
  <c r="C24" i="5"/>
  <c r="D24" i="5" s="1" a="1"/>
  <c r="B24" i="5"/>
  <c r="A24" i="5"/>
  <c r="C23" i="5"/>
  <c r="D23" i="5" s="1" a="1"/>
  <c r="B23" i="5"/>
  <c r="A23" i="5"/>
  <c r="C22" i="5"/>
  <c r="D22" i="5" s="1" a="1"/>
  <c r="B22" i="5"/>
  <c r="A22" i="5"/>
  <c r="C21" i="5"/>
  <c r="D21" i="5" s="1" a="1"/>
  <c r="B21" i="5"/>
  <c r="A21" i="5"/>
  <c r="C20" i="5"/>
  <c r="D20" i="5" s="1" a="1"/>
  <c r="B20" i="5"/>
  <c r="A20" i="5"/>
  <c r="C19" i="5"/>
  <c r="D19" i="5" s="1" a="1"/>
  <c r="B19" i="5"/>
  <c r="A19" i="5"/>
  <c r="C18" i="5"/>
  <c r="D18" i="5" s="1" a="1"/>
  <c r="Y18" i="5" s="1"/>
  <c r="B18" i="5"/>
  <c r="A18" i="5"/>
  <c r="A4" i="5"/>
  <c r="C12" i="5" s="1"/>
  <c r="AC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AC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AC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AC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AC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AC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AC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AC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AC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AC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AC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AC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AC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AC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AC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AC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AC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AC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AC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AC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AC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AC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AC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AC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AC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AC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AC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AC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AC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AC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AC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AC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AC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AC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AC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AC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AC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AC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AC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AC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AC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AC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AC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AC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AC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AC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AC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AC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C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AC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AC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AC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AC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AC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AC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C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C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C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AC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C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AC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AC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AC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AC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AC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AC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AC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AC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AC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AC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AC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AC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AC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AC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AC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AC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AC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AC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AC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AC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AC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AC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AC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AC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AC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AC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AC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AC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AC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AC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AC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AC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C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AC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AC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C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AC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AC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AC5" i="4"/>
  <c r="Y5" i="4"/>
  <c r="X5" i="4"/>
  <c r="W5" i="4"/>
  <c r="V5" i="4"/>
  <c r="U5" i="4"/>
  <c r="T5" i="4"/>
  <c r="R5" i="4"/>
  <c r="Q5" i="4"/>
  <c r="P5" i="4"/>
  <c r="O5" i="4"/>
  <c r="N5" i="4"/>
  <c r="M5" i="4"/>
  <c r="L5" i="4"/>
  <c r="K5" i="4"/>
  <c r="J5" i="4"/>
  <c r="I5" i="4"/>
  <c r="H5" i="4"/>
  <c r="AC4" i="4"/>
  <c r="Y4" i="4"/>
  <c r="X4" i="4"/>
  <c r="W4" i="4"/>
  <c r="V4" i="4"/>
  <c r="U4" i="4"/>
  <c r="T4" i="4"/>
  <c r="Q4" i="4"/>
  <c r="P4" i="4"/>
  <c r="O4" i="4"/>
  <c r="N4" i="4"/>
  <c r="M4" i="4"/>
  <c r="L4" i="4"/>
  <c r="K4" i="4"/>
  <c r="J4" i="4"/>
  <c r="I4" i="4"/>
  <c r="H4" i="4"/>
  <c r="V603" i="3"/>
  <c r="T603" i="3"/>
  <c r="S603" i="3"/>
  <c r="V602" i="3"/>
  <c r="T602" i="3"/>
  <c r="S602" i="3"/>
  <c r="V601" i="3"/>
  <c r="T601" i="3"/>
  <c r="S601" i="3"/>
  <c r="V600" i="3"/>
  <c r="T600" i="3"/>
  <c r="S600" i="3"/>
  <c r="V599" i="3"/>
  <c r="T599" i="3"/>
  <c r="S599" i="3"/>
  <c r="V598" i="3"/>
  <c r="T598" i="3"/>
  <c r="S598" i="3"/>
  <c r="V597" i="3"/>
  <c r="T597" i="3"/>
  <c r="S597" i="3"/>
  <c r="V596" i="3"/>
  <c r="T596" i="3"/>
  <c r="S596" i="3"/>
  <c r="V595" i="3"/>
  <c r="T595" i="3"/>
  <c r="S595" i="3"/>
  <c r="V594" i="3"/>
  <c r="T594" i="3"/>
  <c r="S594" i="3"/>
  <c r="V593" i="3"/>
  <c r="T593" i="3"/>
  <c r="S593" i="3"/>
  <c r="V592" i="3"/>
  <c r="T592" i="3"/>
  <c r="S592" i="3"/>
  <c r="V591" i="3"/>
  <c r="T591" i="3"/>
  <c r="S591" i="3"/>
  <c r="V590" i="3"/>
  <c r="T590" i="3"/>
  <c r="S590" i="3"/>
  <c r="V589" i="3"/>
  <c r="T589" i="3"/>
  <c r="S589" i="3"/>
  <c r="V588" i="3"/>
  <c r="T588" i="3"/>
  <c r="S588" i="3"/>
  <c r="V587" i="3"/>
  <c r="T587" i="3"/>
  <c r="S587" i="3"/>
  <c r="V586" i="3"/>
  <c r="T586" i="3"/>
  <c r="S586" i="3"/>
  <c r="V585" i="3"/>
  <c r="T585" i="3"/>
  <c r="S585" i="3"/>
  <c r="V584" i="3"/>
  <c r="T584" i="3"/>
  <c r="S584" i="3"/>
  <c r="V583" i="3"/>
  <c r="T583" i="3"/>
  <c r="S583" i="3"/>
  <c r="V582" i="3"/>
  <c r="T582" i="3"/>
  <c r="S582" i="3"/>
  <c r="V581" i="3"/>
  <c r="T581" i="3"/>
  <c r="S581" i="3"/>
  <c r="V580" i="3"/>
  <c r="T580" i="3"/>
  <c r="S580" i="3"/>
  <c r="V579" i="3"/>
  <c r="T579" i="3"/>
  <c r="S579" i="3"/>
  <c r="V578" i="3"/>
  <c r="T578" i="3"/>
  <c r="S578" i="3"/>
  <c r="V577" i="3"/>
  <c r="T577" i="3"/>
  <c r="S577" i="3"/>
  <c r="V576" i="3"/>
  <c r="T576" i="3"/>
  <c r="S576" i="3"/>
  <c r="V575" i="3"/>
  <c r="T575" i="3"/>
  <c r="S575" i="3"/>
  <c r="V574" i="3"/>
  <c r="T574" i="3"/>
  <c r="S574" i="3"/>
  <c r="V573" i="3"/>
  <c r="T573" i="3"/>
  <c r="S573" i="3"/>
  <c r="V572" i="3"/>
  <c r="T572" i="3"/>
  <c r="S572" i="3"/>
  <c r="V571" i="3"/>
  <c r="T571" i="3"/>
  <c r="S571" i="3"/>
  <c r="V570" i="3"/>
  <c r="T570" i="3"/>
  <c r="S570" i="3"/>
  <c r="V569" i="3"/>
  <c r="T569" i="3"/>
  <c r="S569" i="3"/>
  <c r="V568" i="3"/>
  <c r="T568" i="3"/>
  <c r="S568" i="3"/>
  <c r="V567" i="3"/>
  <c r="T567" i="3"/>
  <c r="S567" i="3"/>
  <c r="V566" i="3"/>
  <c r="T566" i="3"/>
  <c r="S566" i="3"/>
  <c r="V565" i="3"/>
  <c r="T565" i="3"/>
  <c r="S565" i="3"/>
  <c r="V564" i="3"/>
  <c r="T564" i="3"/>
  <c r="S564" i="3"/>
  <c r="V563" i="3"/>
  <c r="T563" i="3"/>
  <c r="S563" i="3"/>
  <c r="V562" i="3"/>
  <c r="T562" i="3"/>
  <c r="S562" i="3"/>
  <c r="V561" i="3"/>
  <c r="T561" i="3"/>
  <c r="S561" i="3"/>
  <c r="V560" i="3"/>
  <c r="T560" i="3"/>
  <c r="S560" i="3"/>
  <c r="V559" i="3"/>
  <c r="T559" i="3"/>
  <c r="S559" i="3"/>
  <c r="V558" i="3"/>
  <c r="T558" i="3"/>
  <c r="S558" i="3"/>
  <c r="V557" i="3"/>
  <c r="T557" i="3"/>
  <c r="S557" i="3"/>
  <c r="V556" i="3"/>
  <c r="T556" i="3"/>
  <c r="S556" i="3"/>
  <c r="V555" i="3"/>
  <c r="T555" i="3"/>
  <c r="S555" i="3"/>
  <c r="V554" i="3"/>
  <c r="T554" i="3"/>
  <c r="S554" i="3"/>
  <c r="V553" i="3"/>
  <c r="T553" i="3"/>
  <c r="S553" i="3"/>
  <c r="V552" i="3"/>
  <c r="T552" i="3"/>
  <c r="S552" i="3"/>
  <c r="V551" i="3"/>
  <c r="T551" i="3"/>
  <c r="S551" i="3"/>
  <c r="V550" i="3"/>
  <c r="T550" i="3"/>
  <c r="S550" i="3"/>
  <c r="V549" i="3"/>
  <c r="T549" i="3"/>
  <c r="S549" i="3"/>
  <c r="V548" i="3"/>
  <c r="T548" i="3"/>
  <c r="S548" i="3"/>
  <c r="V547" i="3"/>
  <c r="T547" i="3"/>
  <c r="S547" i="3"/>
  <c r="V546" i="3"/>
  <c r="T546" i="3"/>
  <c r="S546" i="3"/>
  <c r="V545" i="3"/>
  <c r="T545" i="3"/>
  <c r="S545" i="3"/>
  <c r="V544" i="3"/>
  <c r="T544" i="3"/>
  <c r="S544" i="3"/>
  <c r="V543" i="3"/>
  <c r="T543" i="3"/>
  <c r="S543" i="3"/>
  <c r="V542" i="3"/>
  <c r="T542" i="3"/>
  <c r="S542" i="3"/>
  <c r="V541" i="3"/>
  <c r="T541" i="3"/>
  <c r="S541" i="3"/>
  <c r="V540" i="3"/>
  <c r="T540" i="3"/>
  <c r="S540" i="3"/>
  <c r="V539" i="3"/>
  <c r="T539" i="3"/>
  <c r="S539" i="3"/>
  <c r="V538" i="3"/>
  <c r="T538" i="3"/>
  <c r="S538" i="3"/>
  <c r="V537" i="3"/>
  <c r="T537" i="3"/>
  <c r="S537" i="3"/>
  <c r="V536" i="3"/>
  <c r="T536" i="3"/>
  <c r="S536" i="3"/>
  <c r="V535" i="3"/>
  <c r="T535" i="3"/>
  <c r="S535" i="3"/>
  <c r="V534" i="3"/>
  <c r="T534" i="3"/>
  <c r="S534" i="3"/>
  <c r="V533" i="3"/>
  <c r="T533" i="3"/>
  <c r="S533" i="3"/>
  <c r="V532" i="3"/>
  <c r="T532" i="3"/>
  <c r="S532" i="3"/>
  <c r="V531" i="3"/>
  <c r="T531" i="3"/>
  <c r="S531" i="3"/>
  <c r="V530" i="3"/>
  <c r="T530" i="3"/>
  <c r="S530" i="3"/>
  <c r="V529" i="3"/>
  <c r="T529" i="3"/>
  <c r="S529" i="3"/>
  <c r="V528" i="3"/>
  <c r="T528" i="3"/>
  <c r="S528" i="3"/>
  <c r="V527" i="3"/>
  <c r="T527" i="3"/>
  <c r="S527" i="3"/>
  <c r="V526" i="3"/>
  <c r="T526" i="3"/>
  <c r="S526" i="3"/>
  <c r="V525" i="3"/>
  <c r="T525" i="3"/>
  <c r="S525" i="3"/>
  <c r="V524" i="3"/>
  <c r="T524" i="3"/>
  <c r="S524" i="3"/>
  <c r="V523" i="3"/>
  <c r="T523" i="3"/>
  <c r="S523" i="3"/>
  <c r="V522" i="3"/>
  <c r="T522" i="3"/>
  <c r="S522" i="3"/>
  <c r="V521" i="3"/>
  <c r="T521" i="3"/>
  <c r="S521" i="3"/>
  <c r="V520" i="3"/>
  <c r="T520" i="3"/>
  <c r="S520" i="3"/>
  <c r="V519" i="3"/>
  <c r="T519" i="3"/>
  <c r="S519" i="3"/>
  <c r="V518" i="3"/>
  <c r="T518" i="3"/>
  <c r="S518" i="3"/>
  <c r="V517" i="3"/>
  <c r="T517" i="3"/>
  <c r="S517" i="3"/>
  <c r="V516" i="3"/>
  <c r="T516" i="3"/>
  <c r="S516" i="3"/>
  <c r="V515" i="3"/>
  <c r="T515" i="3"/>
  <c r="S515" i="3"/>
  <c r="V514" i="3"/>
  <c r="T514" i="3"/>
  <c r="S514" i="3"/>
  <c r="V513" i="3"/>
  <c r="T513" i="3"/>
  <c r="S513" i="3"/>
  <c r="V512" i="3"/>
  <c r="T512" i="3"/>
  <c r="S512" i="3"/>
  <c r="V511" i="3"/>
  <c r="T511" i="3"/>
  <c r="S511" i="3"/>
  <c r="V510" i="3"/>
  <c r="T510" i="3"/>
  <c r="S510" i="3"/>
  <c r="V509" i="3"/>
  <c r="T509" i="3"/>
  <c r="S509" i="3"/>
  <c r="V508" i="3"/>
  <c r="T508" i="3"/>
  <c r="S508" i="3"/>
  <c r="V507" i="3"/>
  <c r="T507" i="3"/>
  <c r="S507" i="3"/>
  <c r="V506" i="3"/>
  <c r="T506" i="3"/>
  <c r="S506" i="3"/>
  <c r="V505" i="3"/>
  <c r="T505" i="3"/>
  <c r="S505" i="3"/>
  <c r="V504" i="3"/>
  <c r="T504" i="3"/>
  <c r="S504" i="3"/>
  <c r="V503" i="3"/>
  <c r="T503" i="3"/>
  <c r="S503" i="3"/>
  <c r="V502" i="3"/>
  <c r="T502" i="3"/>
  <c r="S502" i="3"/>
  <c r="V501" i="3"/>
  <c r="T501" i="3"/>
  <c r="S501" i="3"/>
  <c r="V500" i="3"/>
  <c r="T500" i="3"/>
  <c r="S500" i="3"/>
  <c r="V499" i="3"/>
  <c r="T499" i="3"/>
  <c r="S499" i="3"/>
  <c r="V498" i="3"/>
  <c r="T498" i="3"/>
  <c r="S498" i="3"/>
  <c r="V497" i="3"/>
  <c r="T497" i="3"/>
  <c r="S497" i="3"/>
  <c r="V496" i="3"/>
  <c r="T496" i="3"/>
  <c r="S496" i="3"/>
  <c r="V495" i="3"/>
  <c r="T495" i="3"/>
  <c r="S495" i="3"/>
  <c r="V494" i="3"/>
  <c r="T494" i="3"/>
  <c r="S494" i="3"/>
  <c r="V493" i="3"/>
  <c r="T493" i="3"/>
  <c r="S493" i="3"/>
  <c r="V492" i="3"/>
  <c r="T492" i="3"/>
  <c r="S492" i="3"/>
  <c r="V491" i="3"/>
  <c r="T491" i="3"/>
  <c r="S491" i="3"/>
  <c r="V490" i="3"/>
  <c r="T490" i="3"/>
  <c r="S490" i="3"/>
  <c r="V489" i="3"/>
  <c r="T489" i="3"/>
  <c r="S489" i="3"/>
  <c r="V488" i="3"/>
  <c r="T488" i="3"/>
  <c r="S488" i="3"/>
  <c r="V487" i="3"/>
  <c r="T487" i="3"/>
  <c r="S487" i="3"/>
  <c r="V486" i="3"/>
  <c r="T486" i="3"/>
  <c r="S486" i="3"/>
  <c r="V485" i="3"/>
  <c r="T485" i="3"/>
  <c r="S485" i="3"/>
  <c r="V484" i="3"/>
  <c r="T484" i="3"/>
  <c r="S484" i="3"/>
  <c r="V483" i="3"/>
  <c r="T483" i="3"/>
  <c r="S483" i="3"/>
  <c r="V482" i="3"/>
  <c r="T482" i="3"/>
  <c r="S482" i="3"/>
  <c r="V481" i="3"/>
  <c r="T481" i="3"/>
  <c r="S481" i="3"/>
  <c r="V480" i="3"/>
  <c r="T480" i="3"/>
  <c r="S480" i="3"/>
  <c r="V479" i="3"/>
  <c r="T479" i="3"/>
  <c r="S479" i="3"/>
  <c r="V478" i="3"/>
  <c r="T478" i="3"/>
  <c r="S478" i="3"/>
  <c r="V477" i="3"/>
  <c r="T477" i="3"/>
  <c r="S477" i="3"/>
  <c r="V476" i="3"/>
  <c r="T476" i="3"/>
  <c r="S476" i="3"/>
  <c r="V475" i="3"/>
  <c r="T475" i="3"/>
  <c r="S475" i="3"/>
  <c r="V474" i="3"/>
  <c r="T474" i="3"/>
  <c r="S474" i="3"/>
  <c r="V473" i="3"/>
  <c r="T473" i="3"/>
  <c r="S473" i="3"/>
  <c r="V472" i="3"/>
  <c r="T472" i="3"/>
  <c r="S472" i="3"/>
  <c r="V471" i="3"/>
  <c r="T471" i="3"/>
  <c r="S471" i="3"/>
  <c r="V470" i="3"/>
  <c r="T470" i="3"/>
  <c r="S470" i="3"/>
  <c r="V469" i="3"/>
  <c r="T469" i="3"/>
  <c r="S469" i="3"/>
  <c r="V468" i="3"/>
  <c r="T468" i="3"/>
  <c r="S468" i="3"/>
  <c r="V467" i="3"/>
  <c r="T467" i="3"/>
  <c r="S467" i="3"/>
  <c r="V466" i="3"/>
  <c r="T466" i="3"/>
  <c r="S466" i="3"/>
  <c r="V465" i="3"/>
  <c r="T465" i="3"/>
  <c r="S465" i="3"/>
  <c r="V464" i="3"/>
  <c r="T464" i="3"/>
  <c r="S464" i="3"/>
  <c r="V463" i="3"/>
  <c r="T463" i="3"/>
  <c r="S463" i="3"/>
  <c r="V462" i="3"/>
  <c r="T462" i="3"/>
  <c r="S462" i="3"/>
  <c r="V461" i="3"/>
  <c r="T461" i="3"/>
  <c r="S461" i="3"/>
  <c r="V460" i="3"/>
  <c r="T460" i="3"/>
  <c r="S460" i="3"/>
  <c r="V459" i="3"/>
  <c r="T459" i="3"/>
  <c r="S459" i="3"/>
  <c r="V458" i="3"/>
  <c r="T458" i="3"/>
  <c r="S458" i="3"/>
  <c r="V457" i="3"/>
  <c r="T457" i="3"/>
  <c r="S457" i="3"/>
  <c r="V456" i="3"/>
  <c r="T456" i="3"/>
  <c r="S456" i="3"/>
  <c r="V455" i="3"/>
  <c r="T455" i="3"/>
  <c r="S455" i="3"/>
  <c r="V454" i="3"/>
  <c r="T454" i="3"/>
  <c r="S454" i="3"/>
  <c r="V453" i="3"/>
  <c r="T453" i="3"/>
  <c r="S453" i="3"/>
  <c r="V452" i="3"/>
  <c r="T452" i="3"/>
  <c r="S452" i="3"/>
  <c r="V451" i="3"/>
  <c r="T451" i="3"/>
  <c r="S451" i="3"/>
  <c r="V450" i="3"/>
  <c r="T450" i="3"/>
  <c r="S450" i="3"/>
  <c r="V449" i="3"/>
  <c r="T449" i="3"/>
  <c r="S449" i="3"/>
  <c r="V448" i="3"/>
  <c r="T448" i="3"/>
  <c r="S448" i="3"/>
  <c r="V447" i="3"/>
  <c r="T447" i="3"/>
  <c r="S447" i="3"/>
  <c r="V446" i="3"/>
  <c r="T446" i="3"/>
  <c r="S446" i="3"/>
  <c r="V445" i="3"/>
  <c r="T445" i="3"/>
  <c r="S445" i="3"/>
  <c r="V444" i="3"/>
  <c r="T444" i="3"/>
  <c r="S444" i="3"/>
  <c r="V443" i="3"/>
  <c r="T443" i="3"/>
  <c r="S443" i="3"/>
  <c r="V442" i="3"/>
  <c r="T442" i="3"/>
  <c r="S442" i="3"/>
  <c r="V441" i="3"/>
  <c r="T441" i="3"/>
  <c r="S441" i="3"/>
  <c r="V440" i="3"/>
  <c r="T440" i="3"/>
  <c r="S440" i="3"/>
  <c r="V439" i="3"/>
  <c r="T439" i="3"/>
  <c r="S439" i="3"/>
  <c r="V438" i="3"/>
  <c r="T438" i="3"/>
  <c r="S438" i="3"/>
  <c r="V437" i="3"/>
  <c r="T437" i="3"/>
  <c r="S437" i="3"/>
  <c r="V436" i="3"/>
  <c r="T436" i="3"/>
  <c r="S436" i="3"/>
  <c r="V435" i="3"/>
  <c r="T435" i="3"/>
  <c r="S435" i="3"/>
  <c r="V434" i="3"/>
  <c r="T434" i="3"/>
  <c r="S434" i="3"/>
  <c r="V433" i="3"/>
  <c r="T433" i="3"/>
  <c r="S433" i="3"/>
  <c r="V432" i="3"/>
  <c r="T432" i="3"/>
  <c r="S432" i="3"/>
  <c r="V431" i="3"/>
  <c r="T431" i="3"/>
  <c r="S431" i="3"/>
  <c r="V430" i="3"/>
  <c r="T430" i="3"/>
  <c r="S430" i="3"/>
  <c r="V429" i="3"/>
  <c r="T429" i="3"/>
  <c r="S429" i="3"/>
  <c r="V428" i="3"/>
  <c r="T428" i="3"/>
  <c r="S428" i="3"/>
  <c r="V427" i="3"/>
  <c r="T427" i="3"/>
  <c r="S427" i="3"/>
  <c r="V426" i="3"/>
  <c r="T426" i="3"/>
  <c r="S426" i="3"/>
  <c r="V425" i="3"/>
  <c r="T425" i="3"/>
  <c r="S425" i="3"/>
  <c r="V424" i="3"/>
  <c r="T424" i="3"/>
  <c r="S424" i="3"/>
  <c r="V423" i="3"/>
  <c r="T423" i="3"/>
  <c r="S423" i="3"/>
  <c r="V422" i="3"/>
  <c r="T422" i="3"/>
  <c r="S422" i="3"/>
  <c r="V421" i="3"/>
  <c r="T421" i="3"/>
  <c r="S421" i="3"/>
  <c r="V420" i="3"/>
  <c r="T420" i="3"/>
  <c r="S420" i="3"/>
  <c r="V419" i="3"/>
  <c r="T419" i="3"/>
  <c r="S419" i="3"/>
  <c r="V418" i="3"/>
  <c r="T418" i="3"/>
  <c r="S418" i="3"/>
  <c r="V417" i="3"/>
  <c r="T417" i="3"/>
  <c r="S417" i="3"/>
  <c r="V416" i="3"/>
  <c r="T416" i="3"/>
  <c r="S416" i="3"/>
  <c r="V415" i="3"/>
  <c r="T415" i="3"/>
  <c r="S415" i="3"/>
  <c r="V414" i="3"/>
  <c r="T414" i="3"/>
  <c r="S414" i="3"/>
  <c r="V413" i="3"/>
  <c r="T413" i="3"/>
  <c r="S413" i="3"/>
  <c r="V412" i="3"/>
  <c r="T412" i="3"/>
  <c r="S412" i="3"/>
  <c r="V411" i="3"/>
  <c r="T411" i="3"/>
  <c r="S411" i="3"/>
  <c r="V410" i="3"/>
  <c r="T410" i="3"/>
  <c r="S410" i="3"/>
  <c r="V409" i="3"/>
  <c r="T409" i="3"/>
  <c r="S409" i="3"/>
  <c r="V408" i="3"/>
  <c r="T408" i="3"/>
  <c r="S408" i="3"/>
  <c r="V407" i="3"/>
  <c r="T407" i="3"/>
  <c r="S407" i="3"/>
  <c r="V406" i="3"/>
  <c r="T406" i="3"/>
  <c r="S406" i="3"/>
  <c r="V405" i="3"/>
  <c r="T405" i="3"/>
  <c r="S405" i="3"/>
  <c r="V404" i="3"/>
  <c r="T404" i="3"/>
  <c r="S404" i="3"/>
  <c r="V403" i="3"/>
  <c r="T403" i="3"/>
  <c r="S403" i="3"/>
  <c r="V402" i="3"/>
  <c r="T402" i="3"/>
  <c r="S402" i="3"/>
  <c r="V401" i="3"/>
  <c r="T401" i="3"/>
  <c r="S401" i="3"/>
  <c r="V400" i="3"/>
  <c r="T400" i="3"/>
  <c r="S400" i="3"/>
  <c r="V399" i="3"/>
  <c r="T399" i="3"/>
  <c r="S399" i="3"/>
  <c r="V398" i="3"/>
  <c r="T398" i="3"/>
  <c r="S398" i="3"/>
  <c r="V397" i="3"/>
  <c r="T397" i="3"/>
  <c r="S397" i="3"/>
  <c r="V396" i="3"/>
  <c r="T396" i="3"/>
  <c r="S396" i="3"/>
  <c r="V395" i="3"/>
  <c r="T395" i="3"/>
  <c r="S395" i="3"/>
  <c r="V394" i="3"/>
  <c r="T394" i="3"/>
  <c r="S394" i="3"/>
  <c r="V393" i="3"/>
  <c r="T393" i="3"/>
  <c r="S393" i="3"/>
  <c r="V392" i="3"/>
  <c r="T392" i="3"/>
  <c r="S392" i="3"/>
  <c r="V391" i="3"/>
  <c r="T391" i="3"/>
  <c r="S391" i="3"/>
  <c r="V390" i="3"/>
  <c r="T390" i="3"/>
  <c r="S390" i="3"/>
  <c r="V389" i="3"/>
  <c r="T389" i="3"/>
  <c r="S389" i="3"/>
  <c r="V388" i="3"/>
  <c r="T388" i="3"/>
  <c r="S388" i="3"/>
  <c r="V387" i="3"/>
  <c r="T387" i="3"/>
  <c r="S387" i="3"/>
  <c r="V386" i="3"/>
  <c r="T386" i="3"/>
  <c r="S386" i="3"/>
  <c r="V385" i="3"/>
  <c r="T385" i="3"/>
  <c r="S385" i="3"/>
  <c r="V384" i="3"/>
  <c r="T384" i="3"/>
  <c r="S384" i="3"/>
  <c r="V383" i="3"/>
  <c r="T383" i="3"/>
  <c r="S383" i="3"/>
  <c r="V382" i="3"/>
  <c r="T382" i="3"/>
  <c r="S382" i="3"/>
  <c r="V381" i="3"/>
  <c r="T381" i="3"/>
  <c r="S381" i="3"/>
  <c r="V380" i="3"/>
  <c r="T380" i="3"/>
  <c r="S380" i="3"/>
  <c r="V379" i="3"/>
  <c r="T379" i="3"/>
  <c r="S379" i="3"/>
  <c r="V378" i="3"/>
  <c r="T378" i="3"/>
  <c r="S378" i="3"/>
  <c r="V377" i="3"/>
  <c r="T377" i="3"/>
  <c r="S377" i="3"/>
  <c r="V376" i="3"/>
  <c r="T376" i="3"/>
  <c r="S376" i="3"/>
  <c r="V375" i="3"/>
  <c r="T375" i="3"/>
  <c r="S375" i="3"/>
  <c r="V374" i="3"/>
  <c r="T374" i="3"/>
  <c r="S374" i="3"/>
  <c r="V373" i="3"/>
  <c r="T373" i="3"/>
  <c r="S373" i="3"/>
  <c r="V372" i="3"/>
  <c r="T372" i="3"/>
  <c r="S372" i="3"/>
  <c r="V371" i="3"/>
  <c r="T371" i="3"/>
  <c r="S371" i="3"/>
  <c r="V370" i="3"/>
  <c r="T370" i="3"/>
  <c r="S370" i="3"/>
  <c r="V369" i="3"/>
  <c r="T369" i="3"/>
  <c r="S369" i="3"/>
  <c r="V368" i="3"/>
  <c r="T368" i="3"/>
  <c r="S368" i="3"/>
  <c r="V367" i="3"/>
  <c r="T367" i="3"/>
  <c r="S367" i="3"/>
  <c r="V366" i="3"/>
  <c r="T366" i="3"/>
  <c r="S366" i="3"/>
  <c r="V365" i="3"/>
  <c r="T365" i="3"/>
  <c r="S365" i="3"/>
  <c r="V364" i="3"/>
  <c r="T364" i="3"/>
  <c r="S364" i="3"/>
  <c r="V363" i="3"/>
  <c r="T363" i="3"/>
  <c r="S363" i="3"/>
  <c r="V362" i="3"/>
  <c r="T362" i="3"/>
  <c r="S362" i="3"/>
  <c r="V361" i="3"/>
  <c r="T361" i="3"/>
  <c r="S361" i="3"/>
  <c r="V360" i="3"/>
  <c r="T360" i="3"/>
  <c r="S360" i="3"/>
  <c r="V359" i="3"/>
  <c r="T359" i="3"/>
  <c r="S359" i="3"/>
  <c r="V358" i="3"/>
  <c r="T358" i="3"/>
  <c r="S358" i="3"/>
  <c r="V357" i="3"/>
  <c r="T357" i="3"/>
  <c r="S357" i="3"/>
  <c r="V356" i="3"/>
  <c r="T356" i="3"/>
  <c r="S356" i="3"/>
  <c r="V355" i="3"/>
  <c r="T355" i="3"/>
  <c r="S355" i="3"/>
  <c r="V354" i="3"/>
  <c r="T354" i="3"/>
  <c r="S354" i="3"/>
  <c r="V353" i="3"/>
  <c r="T353" i="3"/>
  <c r="S353" i="3"/>
  <c r="V352" i="3"/>
  <c r="T352" i="3"/>
  <c r="S352" i="3"/>
  <c r="V351" i="3"/>
  <c r="T351" i="3"/>
  <c r="S351" i="3"/>
  <c r="V350" i="3"/>
  <c r="T350" i="3"/>
  <c r="S350" i="3"/>
  <c r="V349" i="3"/>
  <c r="T349" i="3"/>
  <c r="S349" i="3"/>
  <c r="V348" i="3"/>
  <c r="T348" i="3"/>
  <c r="S348" i="3"/>
  <c r="V347" i="3"/>
  <c r="T347" i="3"/>
  <c r="S347" i="3"/>
  <c r="V346" i="3"/>
  <c r="T346" i="3"/>
  <c r="S346" i="3"/>
  <c r="V345" i="3"/>
  <c r="T345" i="3"/>
  <c r="S345" i="3"/>
  <c r="V344" i="3"/>
  <c r="T344" i="3"/>
  <c r="S344" i="3"/>
  <c r="V343" i="3"/>
  <c r="T343" i="3"/>
  <c r="S343" i="3"/>
  <c r="V342" i="3"/>
  <c r="T342" i="3"/>
  <c r="S342" i="3"/>
  <c r="V341" i="3"/>
  <c r="T341" i="3"/>
  <c r="S341" i="3"/>
  <c r="V340" i="3"/>
  <c r="T340" i="3"/>
  <c r="S340" i="3"/>
  <c r="V339" i="3"/>
  <c r="T339" i="3"/>
  <c r="S339" i="3"/>
  <c r="V338" i="3"/>
  <c r="T338" i="3"/>
  <c r="S338" i="3"/>
  <c r="V337" i="3"/>
  <c r="T337" i="3"/>
  <c r="S337" i="3"/>
  <c r="V336" i="3"/>
  <c r="T336" i="3"/>
  <c r="S336" i="3"/>
  <c r="V335" i="3"/>
  <c r="T335" i="3"/>
  <c r="S335" i="3"/>
  <c r="V334" i="3"/>
  <c r="T334" i="3"/>
  <c r="S334" i="3"/>
  <c r="V333" i="3"/>
  <c r="T333" i="3"/>
  <c r="S333" i="3"/>
  <c r="V332" i="3"/>
  <c r="T332" i="3"/>
  <c r="S332" i="3"/>
  <c r="V331" i="3"/>
  <c r="T331" i="3"/>
  <c r="S331" i="3"/>
  <c r="V330" i="3"/>
  <c r="T330" i="3"/>
  <c r="S330" i="3"/>
  <c r="V329" i="3"/>
  <c r="T329" i="3"/>
  <c r="S329" i="3"/>
  <c r="V328" i="3"/>
  <c r="T328" i="3"/>
  <c r="S328" i="3"/>
  <c r="V327" i="3"/>
  <c r="T327" i="3"/>
  <c r="S327" i="3"/>
  <c r="V326" i="3"/>
  <c r="T326" i="3"/>
  <c r="S326" i="3"/>
  <c r="V325" i="3"/>
  <c r="T325" i="3"/>
  <c r="S325" i="3"/>
  <c r="V324" i="3"/>
  <c r="T324" i="3"/>
  <c r="S324" i="3"/>
  <c r="V323" i="3"/>
  <c r="T323" i="3"/>
  <c r="S323" i="3"/>
  <c r="V322" i="3"/>
  <c r="T322" i="3"/>
  <c r="S322" i="3"/>
  <c r="V321" i="3"/>
  <c r="T321" i="3"/>
  <c r="S321" i="3"/>
  <c r="V320" i="3"/>
  <c r="T320" i="3"/>
  <c r="S320" i="3"/>
  <c r="V319" i="3"/>
  <c r="T319" i="3"/>
  <c r="S319" i="3"/>
  <c r="V318" i="3"/>
  <c r="T318" i="3"/>
  <c r="S318" i="3"/>
  <c r="V317" i="3"/>
  <c r="T317" i="3"/>
  <c r="S317" i="3"/>
  <c r="V316" i="3"/>
  <c r="T316" i="3"/>
  <c r="S316" i="3"/>
  <c r="V315" i="3"/>
  <c r="T315" i="3"/>
  <c r="S315" i="3"/>
  <c r="V314" i="3"/>
  <c r="T314" i="3"/>
  <c r="S314" i="3"/>
  <c r="V313" i="3"/>
  <c r="T313" i="3"/>
  <c r="S313" i="3"/>
  <c r="V312" i="3"/>
  <c r="T312" i="3"/>
  <c r="S312" i="3"/>
  <c r="V311" i="3"/>
  <c r="T311" i="3"/>
  <c r="S311" i="3"/>
  <c r="V310" i="3"/>
  <c r="T310" i="3"/>
  <c r="S310" i="3"/>
  <c r="V309" i="3"/>
  <c r="T309" i="3"/>
  <c r="S309" i="3"/>
  <c r="V308" i="3"/>
  <c r="T308" i="3"/>
  <c r="S308" i="3"/>
  <c r="V307" i="3"/>
  <c r="T307" i="3"/>
  <c r="S307" i="3"/>
  <c r="V306" i="3"/>
  <c r="T306" i="3"/>
  <c r="S306" i="3"/>
  <c r="V305" i="3"/>
  <c r="T305" i="3"/>
  <c r="S305" i="3"/>
  <c r="V304" i="3"/>
  <c r="T304" i="3"/>
  <c r="S304" i="3"/>
  <c r="V303" i="3"/>
  <c r="T303" i="3"/>
  <c r="S303" i="3"/>
  <c r="V302" i="3"/>
  <c r="T302" i="3"/>
  <c r="S302" i="3"/>
  <c r="V301" i="3"/>
  <c r="T301" i="3"/>
  <c r="S301" i="3"/>
  <c r="V300" i="3"/>
  <c r="T300" i="3"/>
  <c r="S300" i="3"/>
  <c r="V299" i="3"/>
  <c r="T299" i="3"/>
  <c r="S299" i="3"/>
  <c r="V298" i="3"/>
  <c r="T298" i="3"/>
  <c r="S298" i="3"/>
  <c r="V297" i="3"/>
  <c r="T297" i="3"/>
  <c r="S297" i="3"/>
  <c r="V296" i="3"/>
  <c r="T296" i="3"/>
  <c r="S296" i="3"/>
  <c r="V295" i="3"/>
  <c r="T295" i="3"/>
  <c r="S295" i="3"/>
  <c r="V294" i="3"/>
  <c r="T294" i="3"/>
  <c r="S294" i="3"/>
  <c r="V293" i="3"/>
  <c r="T293" i="3"/>
  <c r="S293" i="3"/>
  <c r="V292" i="3"/>
  <c r="T292" i="3"/>
  <c r="S292" i="3"/>
  <c r="V291" i="3"/>
  <c r="T291" i="3"/>
  <c r="S291" i="3"/>
  <c r="V290" i="3"/>
  <c r="T290" i="3"/>
  <c r="S290" i="3"/>
  <c r="V289" i="3"/>
  <c r="T289" i="3"/>
  <c r="S289" i="3"/>
  <c r="V288" i="3"/>
  <c r="T288" i="3"/>
  <c r="S288" i="3"/>
  <c r="V287" i="3"/>
  <c r="T287" i="3"/>
  <c r="S287" i="3"/>
  <c r="V286" i="3"/>
  <c r="T286" i="3"/>
  <c r="S286" i="3"/>
  <c r="V285" i="3"/>
  <c r="T285" i="3"/>
  <c r="S285" i="3"/>
  <c r="V284" i="3"/>
  <c r="T284" i="3"/>
  <c r="S284" i="3"/>
  <c r="V283" i="3"/>
  <c r="T283" i="3"/>
  <c r="S283" i="3"/>
  <c r="V282" i="3"/>
  <c r="T282" i="3"/>
  <c r="S282" i="3"/>
  <c r="V281" i="3"/>
  <c r="T281" i="3"/>
  <c r="S281" i="3"/>
  <c r="V280" i="3"/>
  <c r="T280" i="3"/>
  <c r="S280" i="3"/>
  <c r="V279" i="3"/>
  <c r="T279" i="3"/>
  <c r="S279" i="3"/>
  <c r="V278" i="3"/>
  <c r="T278" i="3"/>
  <c r="S278" i="3"/>
  <c r="V277" i="3"/>
  <c r="T277" i="3"/>
  <c r="S277" i="3"/>
  <c r="V276" i="3"/>
  <c r="T276" i="3"/>
  <c r="S276" i="3"/>
  <c r="V275" i="3"/>
  <c r="T275" i="3"/>
  <c r="S275" i="3"/>
  <c r="V274" i="3"/>
  <c r="T274" i="3"/>
  <c r="S274" i="3"/>
  <c r="V273" i="3"/>
  <c r="T273" i="3"/>
  <c r="S273" i="3"/>
  <c r="V272" i="3"/>
  <c r="T272" i="3"/>
  <c r="S272" i="3"/>
  <c r="V271" i="3"/>
  <c r="T271" i="3"/>
  <c r="S271" i="3"/>
  <c r="V270" i="3"/>
  <c r="T270" i="3"/>
  <c r="S270" i="3"/>
  <c r="V269" i="3"/>
  <c r="T269" i="3"/>
  <c r="S269" i="3"/>
  <c r="V268" i="3"/>
  <c r="T268" i="3"/>
  <c r="S268" i="3"/>
  <c r="V267" i="3"/>
  <c r="T267" i="3"/>
  <c r="S267" i="3"/>
  <c r="V266" i="3"/>
  <c r="T266" i="3"/>
  <c r="S266" i="3"/>
  <c r="V265" i="3"/>
  <c r="T265" i="3"/>
  <c r="S265" i="3"/>
  <c r="V264" i="3"/>
  <c r="T264" i="3"/>
  <c r="S264" i="3"/>
  <c r="V263" i="3"/>
  <c r="T263" i="3"/>
  <c r="S263" i="3"/>
  <c r="V262" i="3"/>
  <c r="T262" i="3"/>
  <c r="S262" i="3"/>
  <c r="V261" i="3"/>
  <c r="T261" i="3"/>
  <c r="S261" i="3"/>
  <c r="V260" i="3"/>
  <c r="T260" i="3"/>
  <c r="S260" i="3"/>
  <c r="V259" i="3"/>
  <c r="T259" i="3"/>
  <c r="S259" i="3"/>
  <c r="V258" i="3"/>
  <c r="T258" i="3"/>
  <c r="S258" i="3"/>
  <c r="V257" i="3"/>
  <c r="T257" i="3"/>
  <c r="S257" i="3"/>
  <c r="V256" i="3"/>
  <c r="T256" i="3"/>
  <c r="S256" i="3"/>
  <c r="V255" i="3"/>
  <c r="T255" i="3"/>
  <c r="S255" i="3"/>
  <c r="V254" i="3"/>
  <c r="T254" i="3"/>
  <c r="S254" i="3"/>
  <c r="V253" i="3"/>
  <c r="T253" i="3"/>
  <c r="S253" i="3"/>
  <c r="V252" i="3"/>
  <c r="T252" i="3"/>
  <c r="S252" i="3"/>
  <c r="V251" i="3"/>
  <c r="T251" i="3"/>
  <c r="S251" i="3"/>
  <c r="V250" i="3"/>
  <c r="T250" i="3"/>
  <c r="S250" i="3"/>
  <c r="V249" i="3"/>
  <c r="T249" i="3"/>
  <c r="S249" i="3"/>
  <c r="V248" i="3"/>
  <c r="T248" i="3"/>
  <c r="S248" i="3"/>
  <c r="V247" i="3"/>
  <c r="T247" i="3"/>
  <c r="S247" i="3"/>
  <c r="V246" i="3"/>
  <c r="T246" i="3"/>
  <c r="S246" i="3"/>
  <c r="V245" i="3"/>
  <c r="T245" i="3"/>
  <c r="S245" i="3"/>
  <c r="V244" i="3"/>
  <c r="T244" i="3"/>
  <c r="S244" i="3"/>
  <c r="V243" i="3"/>
  <c r="T243" i="3"/>
  <c r="S243" i="3"/>
  <c r="V242" i="3"/>
  <c r="T242" i="3"/>
  <c r="S242" i="3"/>
  <c r="V241" i="3"/>
  <c r="T241" i="3"/>
  <c r="S241" i="3"/>
  <c r="V240" i="3"/>
  <c r="T240" i="3"/>
  <c r="S240" i="3"/>
  <c r="V239" i="3"/>
  <c r="T239" i="3"/>
  <c r="S239" i="3"/>
  <c r="V238" i="3"/>
  <c r="T238" i="3"/>
  <c r="S238" i="3"/>
  <c r="V237" i="3"/>
  <c r="T237" i="3"/>
  <c r="S237" i="3"/>
  <c r="V236" i="3"/>
  <c r="T236" i="3"/>
  <c r="S236" i="3"/>
  <c r="V235" i="3"/>
  <c r="T235" i="3"/>
  <c r="S235" i="3"/>
  <c r="V234" i="3"/>
  <c r="T234" i="3"/>
  <c r="S234" i="3"/>
  <c r="V233" i="3"/>
  <c r="T233" i="3"/>
  <c r="S233" i="3"/>
  <c r="V232" i="3"/>
  <c r="T232" i="3"/>
  <c r="S232" i="3"/>
  <c r="V231" i="3"/>
  <c r="T231" i="3"/>
  <c r="S231" i="3"/>
  <c r="V230" i="3"/>
  <c r="T230" i="3"/>
  <c r="S230" i="3"/>
  <c r="V229" i="3"/>
  <c r="T229" i="3"/>
  <c r="S229" i="3"/>
  <c r="V228" i="3"/>
  <c r="T228" i="3"/>
  <c r="S228" i="3"/>
  <c r="V227" i="3"/>
  <c r="T227" i="3"/>
  <c r="S227" i="3"/>
  <c r="V226" i="3"/>
  <c r="T226" i="3"/>
  <c r="S226" i="3"/>
  <c r="V225" i="3"/>
  <c r="T225" i="3"/>
  <c r="S225" i="3"/>
  <c r="V224" i="3"/>
  <c r="T224" i="3"/>
  <c r="S224" i="3"/>
  <c r="V223" i="3"/>
  <c r="T223" i="3"/>
  <c r="S223" i="3"/>
  <c r="V222" i="3"/>
  <c r="T222" i="3"/>
  <c r="S222" i="3"/>
  <c r="V221" i="3"/>
  <c r="T221" i="3"/>
  <c r="S221" i="3"/>
  <c r="V220" i="3"/>
  <c r="T220" i="3"/>
  <c r="S220" i="3"/>
  <c r="V219" i="3"/>
  <c r="T219" i="3"/>
  <c r="S219" i="3"/>
  <c r="V218" i="3"/>
  <c r="T218" i="3"/>
  <c r="S218" i="3"/>
  <c r="V217" i="3"/>
  <c r="T217" i="3"/>
  <c r="S217" i="3"/>
  <c r="V216" i="3"/>
  <c r="T216" i="3"/>
  <c r="S216" i="3"/>
  <c r="V215" i="3"/>
  <c r="T215" i="3"/>
  <c r="S215" i="3"/>
  <c r="V214" i="3"/>
  <c r="T214" i="3"/>
  <c r="S214" i="3"/>
  <c r="V213" i="3"/>
  <c r="T213" i="3"/>
  <c r="S213" i="3"/>
  <c r="V212" i="3"/>
  <c r="T212" i="3"/>
  <c r="S212" i="3"/>
  <c r="V211" i="3"/>
  <c r="T211" i="3"/>
  <c r="S211" i="3"/>
  <c r="V210" i="3"/>
  <c r="T210" i="3"/>
  <c r="S210" i="3"/>
  <c r="V209" i="3"/>
  <c r="T209" i="3"/>
  <c r="S209" i="3"/>
  <c r="V208" i="3"/>
  <c r="T208" i="3"/>
  <c r="S208" i="3"/>
  <c r="V207" i="3"/>
  <c r="T207" i="3"/>
  <c r="S207" i="3"/>
  <c r="V206" i="3"/>
  <c r="T206" i="3"/>
  <c r="S206" i="3"/>
  <c r="V205" i="3"/>
  <c r="T205" i="3"/>
  <c r="S205" i="3"/>
  <c r="V204" i="3"/>
  <c r="T204" i="3"/>
  <c r="S204" i="3"/>
  <c r="V203" i="3"/>
  <c r="T203" i="3"/>
  <c r="S203" i="3"/>
  <c r="V202" i="3"/>
  <c r="T202" i="3"/>
  <c r="S202" i="3"/>
  <c r="V201" i="3"/>
  <c r="T201" i="3"/>
  <c r="S201" i="3"/>
  <c r="V200" i="3"/>
  <c r="T200" i="3"/>
  <c r="S200" i="3"/>
  <c r="V199" i="3"/>
  <c r="T199" i="3"/>
  <c r="S199" i="3"/>
  <c r="V198" i="3"/>
  <c r="T198" i="3"/>
  <c r="S198" i="3"/>
  <c r="V197" i="3"/>
  <c r="T197" i="3"/>
  <c r="S197" i="3"/>
  <c r="V196" i="3"/>
  <c r="T196" i="3"/>
  <c r="S196" i="3"/>
  <c r="V195" i="3"/>
  <c r="T195" i="3"/>
  <c r="S195" i="3"/>
  <c r="V194" i="3"/>
  <c r="T194" i="3"/>
  <c r="S194" i="3"/>
  <c r="V193" i="3"/>
  <c r="T193" i="3"/>
  <c r="S193" i="3"/>
  <c r="V192" i="3"/>
  <c r="T192" i="3"/>
  <c r="S192" i="3"/>
  <c r="V191" i="3"/>
  <c r="T191" i="3"/>
  <c r="S191" i="3"/>
  <c r="V190" i="3"/>
  <c r="T190" i="3"/>
  <c r="S190" i="3"/>
  <c r="V189" i="3"/>
  <c r="T189" i="3"/>
  <c r="S189" i="3"/>
  <c r="V188" i="3"/>
  <c r="T188" i="3"/>
  <c r="S188" i="3"/>
  <c r="V187" i="3"/>
  <c r="T187" i="3"/>
  <c r="S187" i="3"/>
  <c r="V186" i="3"/>
  <c r="T186" i="3"/>
  <c r="S186" i="3"/>
  <c r="V185" i="3"/>
  <c r="T185" i="3"/>
  <c r="S185" i="3"/>
  <c r="V184" i="3"/>
  <c r="T184" i="3"/>
  <c r="S184" i="3"/>
  <c r="V183" i="3"/>
  <c r="T183" i="3"/>
  <c r="S183" i="3"/>
  <c r="V182" i="3"/>
  <c r="T182" i="3"/>
  <c r="S182" i="3"/>
  <c r="V181" i="3"/>
  <c r="T181" i="3"/>
  <c r="S181" i="3"/>
  <c r="V180" i="3"/>
  <c r="T180" i="3"/>
  <c r="S180" i="3"/>
  <c r="V179" i="3"/>
  <c r="T179" i="3"/>
  <c r="S179" i="3"/>
  <c r="V178" i="3"/>
  <c r="T178" i="3"/>
  <c r="S178" i="3"/>
  <c r="V177" i="3"/>
  <c r="T177" i="3"/>
  <c r="S177" i="3"/>
  <c r="V176" i="3"/>
  <c r="T176" i="3"/>
  <c r="S176" i="3"/>
  <c r="V175" i="3"/>
  <c r="T175" i="3"/>
  <c r="S175" i="3"/>
  <c r="V174" i="3"/>
  <c r="T174" i="3"/>
  <c r="S174" i="3"/>
  <c r="V173" i="3"/>
  <c r="T173" i="3"/>
  <c r="S173" i="3"/>
  <c r="V172" i="3"/>
  <c r="T172" i="3"/>
  <c r="S172" i="3"/>
  <c r="V171" i="3"/>
  <c r="T171" i="3"/>
  <c r="S171" i="3"/>
  <c r="V170" i="3"/>
  <c r="T170" i="3"/>
  <c r="S170" i="3"/>
  <c r="V169" i="3"/>
  <c r="T169" i="3"/>
  <c r="S169" i="3"/>
  <c r="V168" i="3"/>
  <c r="T168" i="3"/>
  <c r="S168" i="3"/>
  <c r="V167" i="3"/>
  <c r="T167" i="3"/>
  <c r="S167" i="3"/>
  <c r="V166" i="3"/>
  <c r="T166" i="3"/>
  <c r="S166" i="3"/>
  <c r="V165" i="3"/>
  <c r="T165" i="3"/>
  <c r="S165" i="3"/>
  <c r="V164" i="3"/>
  <c r="T164" i="3"/>
  <c r="S164" i="3"/>
  <c r="V163" i="3"/>
  <c r="T163" i="3"/>
  <c r="S163" i="3"/>
  <c r="V162" i="3"/>
  <c r="T162" i="3"/>
  <c r="S162" i="3"/>
  <c r="V161" i="3"/>
  <c r="T161" i="3"/>
  <c r="S161" i="3"/>
  <c r="V160" i="3"/>
  <c r="T160" i="3"/>
  <c r="S160" i="3"/>
  <c r="V159" i="3"/>
  <c r="T159" i="3"/>
  <c r="S159" i="3"/>
  <c r="V158" i="3"/>
  <c r="T158" i="3"/>
  <c r="S158" i="3"/>
  <c r="V157" i="3"/>
  <c r="T157" i="3"/>
  <c r="S157" i="3"/>
  <c r="V156" i="3"/>
  <c r="T156" i="3"/>
  <c r="S156" i="3"/>
  <c r="V155" i="3"/>
  <c r="T155" i="3"/>
  <c r="S155" i="3"/>
  <c r="V154" i="3"/>
  <c r="T154" i="3"/>
  <c r="S154" i="3"/>
  <c r="V153" i="3"/>
  <c r="T153" i="3"/>
  <c r="S153" i="3"/>
  <c r="V152" i="3"/>
  <c r="T152" i="3"/>
  <c r="S152" i="3"/>
  <c r="V151" i="3"/>
  <c r="T151" i="3"/>
  <c r="S151" i="3"/>
  <c r="V150" i="3"/>
  <c r="T150" i="3"/>
  <c r="S150" i="3"/>
  <c r="V149" i="3"/>
  <c r="T149" i="3"/>
  <c r="S149" i="3"/>
  <c r="V148" i="3"/>
  <c r="T148" i="3"/>
  <c r="S148" i="3"/>
  <c r="V147" i="3"/>
  <c r="T147" i="3"/>
  <c r="S147" i="3"/>
  <c r="V146" i="3"/>
  <c r="T146" i="3"/>
  <c r="S146" i="3"/>
  <c r="V145" i="3"/>
  <c r="T145" i="3"/>
  <c r="S145" i="3"/>
  <c r="V144" i="3"/>
  <c r="T144" i="3"/>
  <c r="S144" i="3"/>
  <c r="V143" i="3"/>
  <c r="T143" i="3"/>
  <c r="S143" i="3"/>
  <c r="V142" i="3"/>
  <c r="T142" i="3"/>
  <c r="S142" i="3"/>
  <c r="V141" i="3"/>
  <c r="T141" i="3"/>
  <c r="S141" i="3"/>
  <c r="V140" i="3"/>
  <c r="T140" i="3"/>
  <c r="S140" i="3"/>
  <c r="V139" i="3"/>
  <c r="T139" i="3"/>
  <c r="S139" i="3"/>
  <c r="V138" i="3"/>
  <c r="T138" i="3"/>
  <c r="S138" i="3"/>
  <c r="V137" i="3"/>
  <c r="T137" i="3"/>
  <c r="S137" i="3"/>
  <c r="V136" i="3"/>
  <c r="T136" i="3"/>
  <c r="S136" i="3"/>
  <c r="V135" i="3"/>
  <c r="T135" i="3"/>
  <c r="S135" i="3"/>
  <c r="V134" i="3"/>
  <c r="T134" i="3"/>
  <c r="S134" i="3"/>
  <c r="V133" i="3"/>
  <c r="T133" i="3"/>
  <c r="S133" i="3"/>
  <c r="V132" i="3"/>
  <c r="T132" i="3"/>
  <c r="S132" i="3"/>
  <c r="V131" i="3"/>
  <c r="T131" i="3"/>
  <c r="S131" i="3"/>
  <c r="V130" i="3"/>
  <c r="T130" i="3"/>
  <c r="S130" i="3"/>
  <c r="V129" i="3"/>
  <c r="T129" i="3"/>
  <c r="S129" i="3"/>
  <c r="V128" i="3"/>
  <c r="T128" i="3"/>
  <c r="S128" i="3"/>
  <c r="V127" i="3"/>
  <c r="T127" i="3"/>
  <c r="S127" i="3"/>
  <c r="V126" i="3"/>
  <c r="T126" i="3"/>
  <c r="S126" i="3"/>
  <c r="V125" i="3"/>
  <c r="T125" i="3"/>
  <c r="S125" i="3"/>
  <c r="V124" i="3"/>
  <c r="T124" i="3"/>
  <c r="S124" i="3"/>
  <c r="V123" i="3"/>
  <c r="T123" i="3"/>
  <c r="S123" i="3"/>
  <c r="V122" i="3"/>
  <c r="T122" i="3"/>
  <c r="S122" i="3"/>
  <c r="V121" i="3"/>
  <c r="T121" i="3"/>
  <c r="S121" i="3"/>
  <c r="V120" i="3"/>
  <c r="T120" i="3"/>
  <c r="S120" i="3"/>
  <c r="V119" i="3"/>
  <c r="T119" i="3"/>
  <c r="S119" i="3"/>
  <c r="V118" i="3"/>
  <c r="T118" i="3"/>
  <c r="S118" i="3"/>
  <c r="V117" i="3"/>
  <c r="T117" i="3"/>
  <c r="S117" i="3"/>
  <c r="V116" i="3"/>
  <c r="T116" i="3"/>
  <c r="S116" i="3"/>
  <c r="V115" i="3"/>
  <c r="T115" i="3"/>
  <c r="S115" i="3"/>
  <c r="V114" i="3"/>
  <c r="T114" i="3"/>
  <c r="S114" i="3"/>
  <c r="V113" i="3"/>
  <c r="T113" i="3"/>
  <c r="S113" i="3"/>
  <c r="V112" i="3"/>
  <c r="T112" i="3"/>
  <c r="S112" i="3"/>
  <c r="V111" i="3"/>
  <c r="T111" i="3"/>
  <c r="S111" i="3"/>
  <c r="V110" i="3"/>
  <c r="T110" i="3"/>
  <c r="S110" i="3"/>
  <c r="V109" i="3"/>
  <c r="T109" i="3"/>
  <c r="S109" i="3"/>
  <c r="V108" i="3"/>
  <c r="T108" i="3"/>
  <c r="S108" i="3"/>
  <c r="V107" i="3"/>
  <c r="T107" i="3"/>
  <c r="S107" i="3"/>
  <c r="V106" i="3"/>
  <c r="T106" i="3"/>
  <c r="S106" i="3"/>
  <c r="V105" i="3"/>
  <c r="T105" i="3"/>
  <c r="S105" i="3"/>
  <c r="V104" i="3"/>
  <c r="T104" i="3"/>
  <c r="S104" i="3"/>
  <c r="V103" i="3"/>
  <c r="T103" i="3"/>
  <c r="S103" i="3"/>
  <c r="V102" i="3"/>
  <c r="T102" i="3"/>
  <c r="S102" i="3"/>
  <c r="V101" i="3"/>
  <c r="T101" i="3"/>
  <c r="S101" i="3"/>
  <c r="V100" i="3"/>
  <c r="T100" i="3"/>
  <c r="S100" i="3"/>
  <c r="V99" i="3"/>
  <c r="T99" i="3"/>
  <c r="S99" i="3"/>
  <c r="V98" i="3"/>
  <c r="T98" i="3"/>
  <c r="S98" i="3"/>
  <c r="V97" i="3"/>
  <c r="T97" i="3"/>
  <c r="S97" i="3"/>
  <c r="V96" i="3"/>
  <c r="T96" i="3"/>
  <c r="S96" i="3"/>
  <c r="V95" i="3"/>
  <c r="T95" i="3"/>
  <c r="S95" i="3"/>
  <c r="V94" i="3"/>
  <c r="T94" i="3"/>
  <c r="S94" i="3"/>
  <c r="V93" i="3"/>
  <c r="T93" i="3"/>
  <c r="S93" i="3"/>
  <c r="V92" i="3"/>
  <c r="T92" i="3"/>
  <c r="S92" i="3"/>
  <c r="V91" i="3"/>
  <c r="T91" i="3"/>
  <c r="S91" i="3"/>
  <c r="V90" i="3"/>
  <c r="T90" i="3"/>
  <c r="S90" i="3"/>
  <c r="V89" i="3"/>
  <c r="T89" i="3"/>
  <c r="S89" i="3"/>
  <c r="V88" i="3"/>
  <c r="T88" i="3"/>
  <c r="S88" i="3"/>
  <c r="V87" i="3"/>
  <c r="T87" i="3"/>
  <c r="S87" i="3"/>
  <c r="V86" i="3"/>
  <c r="T86" i="3"/>
  <c r="S86" i="3"/>
  <c r="V85" i="3"/>
  <c r="T85" i="3"/>
  <c r="S85" i="3"/>
  <c r="V84" i="3"/>
  <c r="T84" i="3"/>
  <c r="S84" i="3"/>
  <c r="V83" i="3"/>
  <c r="T83" i="3"/>
  <c r="S83" i="3"/>
  <c r="V82" i="3"/>
  <c r="T82" i="3"/>
  <c r="S82" i="3"/>
  <c r="V81" i="3"/>
  <c r="T81" i="3"/>
  <c r="S81" i="3"/>
  <c r="V80" i="3"/>
  <c r="T80" i="3"/>
  <c r="S80" i="3"/>
  <c r="V79" i="3"/>
  <c r="T79" i="3"/>
  <c r="S79" i="3"/>
  <c r="V78" i="3"/>
  <c r="T78" i="3"/>
  <c r="S78" i="3"/>
  <c r="V77" i="3"/>
  <c r="T77" i="3"/>
  <c r="S77" i="3"/>
  <c r="V76" i="3"/>
  <c r="T76" i="3"/>
  <c r="S76" i="3"/>
  <c r="V75" i="3"/>
  <c r="T75" i="3"/>
  <c r="S75" i="3"/>
  <c r="V74" i="3"/>
  <c r="T74" i="3"/>
  <c r="S74" i="3"/>
  <c r="V73" i="3"/>
  <c r="T73" i="3"/>
  <c r="S73" i="3"/>
  <c r="V72" i="3"/>
  <c r="T72" i="3"/>
  <c r="S72" i="3"/>
  <c r="V71" i="3"/>
  <c r="T71" i="3"/>
  <c r="S71" i="3"/>
  <c r="V70" i="3"/>
  <c r="T70" i="3"/>
  <c r="S70" i="3"/>
  <c r="V69" i="3"/>
  <c r="T69" i="3"/>
  <c r="S69" i="3"/>
  <c r="V68" i="3"/>
  <c r="T68" i="3"/>
  <c r="S68" i="3"/>
  <c r="V67" i="3"/>
  <c r="T67" i="3"/>
  <c r="S67" i="3"/>
  <c r="V66" i="3"/>
  <c r="T66" i="3"/>
  <c r="S66" i="3"/>
  <c r="V65" i="3"/>
  <c r="T65" i="3"/>
  <c r="S65" i="3"/>
  <c r="V64" i="3"/>
  <c r="T64" i="3"/>
  <c r="S64" i="3"/>
  <c r="V63" i="3"/>
  <c r="T63" i="3"/>
  <c r="S63" i="3"/>
  <c r="V62" i="3"/>
  <c r="T62" i="3"/>
  <c r="S62" i="3"/>
  <c r="V61" i="3"/>
  <c r="T61" i="3"/>
  <c r="S61" i="3"/>
  <c r="V60" i="3"/>
  <c r="T60" i="3"/>
  <c r="S60" i="3"/>
  <c r="V59" i="3"/>
  <c r="T59" i="3"/>
  <c r="S59" i="3"/>
  <c r="V58" i="3"/>
  <c r="T58" i="3"/>
  <c r="S58" i="3"/>
  <c r="V57" i="3"/>
  <c r="T57" i="3"/>
  <c r="S57" i="3"/>
  <c r="V56" i="3"/>
  <c r="T56" i="3"/>
  <c r="S56" i="3"/>
  <c r="V55" i="3"/>
  <c r="T55" i="3"/>
  <c r="S55" i="3"/>
  <c r="V54" i="3"/>
  <c r="T54" i="3"/>
  <c r="S54" i="3"/>
  <c r="V53" i="3"/>
  <c r="T53" i="3"/>
  <c r="S53" i="3"/>
  <c r="V52" i="3"/>
  <c r="T52" i="3"/>
  <c r="S52" i="3"/>
  <c r="V51" i="3"/>
  <c r="T51" i="3"/>
  <c r="S51" i="3"/>
  <c r="V50" i="3"/>
  <c r="T50" i="3"/>
  <c r="S50" i="3"/>
  <c r="V49" i="3"/>
  <c r="T49" i="3"/>
  <c r="S49" i="3"/>
  <c r="V48" i="3"/>
  <c r="T48" i="3"/>
  <c r="S48" i="3"/>
  <c r="V47" i="3"/>
  <c r="T47" i="3"/>
  <c r="S47" i="3"/>
  <c r="V46" i="3"/>
  <c r="T46" i="3"/>
  <c r="S46" i="3"/>
  <c r="V45" i="3"/>
  <c r="T45" i="3"/>
  <c r="S45" i="3"/>
  <c r="V44" i="3"/>
  <c r="T44" i="3"/>
  <c r="S44" i="3"/>
  <c r="V43" i="3"/>
  <c r="T43" i="3"/>
  <c r="S43" i="3"/>
  <c r="V42" i="3"/>
  <c r="T42" i="3"/>
  <c r="S42" i="3"/>
  <c r="V41" i="3"/>
  <c r="T41" i="3"/>
  <c r="S41" i="3"/>
  <c r="V40" i="3"/>
  <c r="T40" i="3"/>
  <c r="S40" i="3"/>
  <c r="V39" i="3"/>
  <c r="T39" i="3"/>
  <c r="S39" i="3"/>
  <c r="V38" i="3"/>
  <c r="T38" i="3"/>
  <c r="S38" i="3"/>
  <c r="V37" i="3"/>
  <c r="T37" i="3"/>
  <c r="S37" i="3"/>
  <c r="V36" i="3"/>
  <c r="T36" i="3"/>
  <c r="S36" i="3"/>
  <c r="V35" i="3"/>
  <c r="T35" i="3"/>
  <c r="S35" i="3"/>
  <c r="V34" i="3"/>
  <c r="T34" i="3"/>
  <c r="S34" i="3"/>
  <c r="V33" i="3"/>
  <c r="T33" i="3"/>
  <c r="S33" i="3"/>
  <c r="V32" i="3"/>
  <c r="T32" i="3"/>
  <c r="S32" i="3"/>
  <c r="V31" i="3"/>
  <c r="T31" i="3"/>
  <c r="S31" i="3"/>
  <c r="V30" i="3"/>
  <c r="T30" i="3"/>
  <c r="S30" i="3"/>
  <c r="V29" i="3"/>
  <c r="T29" i="3"/>
  <c r="S29" i="3"/>
  <c r="V28" i="3"/>
  <c r="T28" i="3"/>
  <c r="S28" i="3"/>
  <c r="V27" i="3"/>
  <c r="T27" i="3"/>
  <c r="S27" i="3"/>
  <c r="V26" i="3"/>
  <c r="T26" i="3"/>
  <c r="S26" i="3"/>
  <c r="V25" i="3"/>
  <c r="T25" i="3"/>
  <c r="S25" i="3"/>
  <c r="V24" i="3"/>
  <c r="T24" i="3"/>
  <c r="S24" i="3"/>
  <c r="V23" i="3"/>
  <c r="T23" i="3"/>
  <c r="S23" i="3"/>
  <c r="V22" i="3"/>
  <c r="T22" i="3"/>
  <c r="S22" i="3"/>
  <c r="V21" i="3"/>
  <c r="T21" i="3"/>
  <c r="S21" i="3"/>
  <c r="V20" i="3"/>
  <c r="T20" i="3"/>
  <c r="S20" i="3"/>
  <c r="V19" i="3"/>
  <c r="T19" i="3"/>
  <c r="S19" i="3"/>
  <c r="V18" i="3"/>
  <c r="T18" i="3"/>
  <c r="S18" i="3"/>
  <c r="V17" i="3"/>
  <c r="T17" i="3"/>
  <c r="S17" i="3"/>
  <c r="V16" i="3"/>
  <c r="T16" i="3"/>
  <c r="S16" i="3"/>
  <c r="V15" i="3"/>
  <c r="T15" i="3"/>
  <c r="S15" i="3"/>
  <c r="V14" i="3"/>
  <c r="T14" i="3"/>
  <c r="S14" i="3"/>
  <c r="V13" i="3"/>
  <c r="T13" i="3"/>
  <c r="S13" i="3"/>
  <c r="V12" i="3"/>
  <c r="T12" i="3"/>
  <c r="S12" i="3"/>
  <c r="S5" i="4" s="1"/>
  <c r="V11" i="3"/>
  <c r="T11" i="3"/>
  <c r="S11" i="3"/>
  <c r="V10" i="3"/>
  <c r="T10" i="3"/>
  <c r="S10" i="3"/>
  <c r="V9" i="3"/>
  <c r="T9" i="3"/>
  <c r="S9" i="3"/>
  <c r="V8" i="3"/>
  <c r="T8" i="3"/>
  <c r="S8" i="3"/>
  <c r="V7" i="3"/>
  <c r="T7" i="3"/>
  <c r="S7" i="3"/>
  <c r="V6" i="3"/>
  <c r="T6" i="3"/>
  <c r="S6" i="3"/>
  <c r="V5" i="3"/>
  <c r="T5" i="3"/>
  <c r="S5" i="3"/>
  <c r="V4" i="3"/>
  <c r="T4" i="3"/>
  <c r="S4" i="3"/>
  <c r="S4" i="4" s="1"/>
  <c r="S30" i="2"/>
  <c r="Q30" i="2"/>
  <c r="P30" i="2"/>
  <c r="O30" i="2"/>
  <c r="B30" i="2"/>
  <c r="S29" i="2"/>
  <c r="Q29" i="2"/>
  <c r="P29" i="2"/>
  <c r="O29" i="2"/>
  <c r="B29" i="2"/>
  <c r="S28" i="2"/>
  <c r="Q28" i="2"/>
  <c r="P28" i="2"/>
  <c r="O28" i="2"/>
  <c r="B28" i="2"/>
  <c r="S27" i="2"/>
  <c r="Q27" i="2"/>
  <c r="P27" i="2"/>
  <c r="O27" i="2"/>
  <c r="C27" i="2"/>
  <c r="B27" i="2"/>
  <c r="S26" i="2"/>
  <c r="Q26" i="2"/>
  <c r="P26" i="2"/>
  <c r="O26" i="2"/>
  <c r="C26" i="2"/>
  <c r="B26" i="2"/>
  <c r="S25" i="2"/>
  <c r="Q25" i="2"/>
  <c r="P25" i="2"/>
  <c r="O25" i="2"/>
  <c r="C25" i="2"/>
  <c r="B25" i="2"/>
  <c r="S24" i="2"/>
  <c r="Q24" i="2"/>
  <c r="P24" i="2"/>
  <c r="O24" i="2"/>
  <c r="C24" i="2"/>
  <c r="B24" i="2"/>
  <c r="S23" i="2"/>
  <c r="Q23" i="2"/>
  <c r="P23" i="2"/>
  <c r="O23" i="2"/>
  <c r="C23" i="2"/>
  <c r="B23" i="2"/>
  <c r="S22" i="2"/>
  <c r="Q22" i="2"/>
  <c r="P22" i="2"/>
  <c r="O22" i="2"/>
  <c r="C22" i="2"/>
  <c r="B22" i="2"/>
  <c r="S21" i="2"/>
  <c r="Q21" i="2"/>
  <c r="P21" i="2"/>
  <c r="O21" i="2"/>
  <c r="C21" i="2"/>
  <c r="B21" i="2"/>
  <c r="S20" i="2"/>
  <c r="Q20" i="2"/>
  <c r="P20" i="2"/>
  <c r="O20" i="2"/>
  <c r="C20" i="2"/>
  <c r="B20" i="2"/>
  <c r="S19" i="2"/>
  <c r="Q19" i="2"/>
  <c r="P19" i="2"/>
  <c r="O19" i="2"/>
  <c r="C19" i="2"/>
  <c r="B19" i="2"/>
  <c r="S18" i="2"/>
  <c r="Q18" i="2"/>
  <c r="P18" i="2"/>
  <c r="O18" i="2"/>
  <c r="C18" i="2"/>
  <c r="B18" i="2"/>
  <c r="S17" i="2"/>
  <c r="Q17" i="2"/>
  <c r="P17" i="2"/>
  <c r="O17" i="2"/>
  <c r="C17" i="2"/>
  <c r="B17" i="2"/>
  <c r="S16" i="2"/>
  <c r="Q16" i="2"/>
  <c r="P16" i="2"/>
  <c r="O16" i="2"/>
  <c r="C16" i="2"/>
  <c r="B16" i="2"/>
  <c r="S15" i="2"/>
  <c r="Q15" i="2"/>
  <c r="P15" i="2"/>
  <c r="O15" i="2"/>
  <c r="C15" i="2"/>
  <c r="B15" i="2"/>
  <c r="S14" i="2"/>
  <c r="Q14" i="2"/>
  <c r="O14" i="2"/>
  <c r="C14" i="2"/>
  <c r="B14" i="2"/>
  <c r="S13" i="2"/>
  <c r="Q13" i="2"/>
  <c r="P13" i="2"/>
  <c r="O13" i="2"/>
  <c r="C13" i="2"/>
  <c r="B13" i="2"/>
  <c r="S12" i="2"/>
  <c r="Q12" i="2"/>
  <c r="P12" i="2"/>
  <c r="O12" i="2"/>
  <c r="C12" i="2"/>
  <c r="B12" i="2"/>
  <c r="S11" i="2"/>
  <c r="Q11" i="2"/>
  <c r="P11" i="2"/>
  <c r="O11" i="2"/>
  <c r="C11" i="2"/>
  <c r="B11" i="2"/>
  <c r="F7" i="2"/>
  <c r="E7" i="2"/>
  <c r="D7" i="2"/>
  <c r="F6" i="2"/>
  <c r="E6" i="2"/>
  <c r="D6" i="2"/>
  <c r="I7" i="9" l="1"/>
  <c r="M7" i="9"/>
  <c r="K7" i="2"/>
  <c r="AC35" i="5"/>
  <c r="AA35" i="5"/>
  <c r="AC36" i="5"/>
  <c r="AA36" i="5"/>
  <c r="AC37" i="5"/>
  <c r="AA37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18" i="5"/>
  <c r="K7" i="9"/>
  <c r="C10" i="5"/>
  <c r="O7" i="8"/>
  <c r="B10" i="5"/>
  <c r="K7" i="8"/>
  <c r="I7" i="8"/>
  <c r="M7" i="8"/>
  <c r="C8" i="5"/>
  <c r="B8" i="5"/>
  <c r="A8" i="5"/>
  <c r="A10" i="5"/>
  <c r="D12" i="5"/>
  <c r="D4" i="5"/>
  <c r="D10" i="5"/>
  <c r="B6" i="5"/>
  <c r="A6" i="5"/>
  <c r="D14" i="5" s="1"/>
  <c r="C6" i="5"/>
  <c r="B12" i="5"/>
  <c r="A14" i="5"/>
  <c r="D6" i="5"/>
  <c r="D8" i="5"/>
  <c r="A12" i="5"/>
  <c r="B14" i="5"/>
  <c r="C4" i="5"/>
  <c r="B4" i="5"/>
  <c r="S37" i="5" l="1"/>
  <c r="O37" i="5"/>
  <c r="T37" i="5"/>
  <c r="H37" i="5"/>
  <c r="R37" i="5"/>
  <c r="U37" i="5"/>
  <c r="Q37" i="5"/>
  <c r="X37" i="5"/>
  <c r="F37" i="5"/>
  <c r="I37" i="5"/>
  <c r="Y37" i="5"/>
  <c r="G37" i="5"/>
  <c r="V37" i="5"/>
  <c r="E37" i="5"/>
  <c r="W37" i="5"/>
  <c r="K37" i="5"/>
  <c r="L37" i="5"/>
  <c r="M37" i="5"/>
  <c r="N37" i="5"/>
  <c r="P37" i="5"/>
  <c r="J37" i="5"/>
  <c r="W36" i="5"/>
  <c r="Q36" i="5"/>
  <c r="U36" i="5"/>
  <c r="S36" i="5"/>
  <c r="I36" i="5"/>
  <c r="N36" i="5"/>
  <c r="K36" i="5"/>
  <c r="X36" i="5"/>
  <c r="O36" i="5"/>
  <c r="Y36" i="5"/>
  <c r="T36" i="5"/>
  <c r="R36" i="5"/>
  <c r="P36" i="5"/>
  <c r="M36" i="5"/>
  <c r="J36" i="5"/>
  <c r="L36" i="5"/>
  <c r="F36" i="5"/>
  <c r="V36" i="5"/>
  <c r="E36" i="5"/>
  <c r="G36" i="5"/>
  <c r="H36" i="5"/>
  <c r="X35" i="5"/>
  <c r="Y35" i="5"/>
  <c r="J35" i="5"/>
  <c r="R35" i="5"/>
  <c r="M35" i="5"/>
  <c r="E35" i="5"/>
  <c r="S35" i="5"/>
  <c r="I35" i="5"/>
  <c r="W35" i="5"/>
  <c r="T35" i="5"/>
  <c r="F35" i="5"/>
  <c r="V35" i="5"/>
  <c r="K35" i="5"/>
  <c r="L35" i="5"/>
  <c r="P35" i="5"/>
  <c r="G35" i="5"/>
  <c r="U35" i="5"/>
  <c r="N35" i="5"/>
  <c r="H35" i="5"/>
  <c r="O35" i="5"/>
  <c r="Q35" i="5"/>
  <c r="E34" i="5"/>
  <c r="F34" i="5" s="1"/>
  <c r="P34" i="5"/>
  <c r="X34" i="5"/>
  <c r="S34" i="5"/>
  <c r="Y34" i="5"/>
  <c r="W34" i="5"/>
  <c r="J34" i="5"/>
  <c r="K34" i="5"/>
  <c r="G34" i="5"/>
  <c r="M34" i="5"/>
  <c r="H34" i="5"/>
  <c r="N34" i="5"/>
  <c r="Q34" i="5"/>
  <c r="T34" i="5"/>
  <c r="H33" i="5"/>
  <c r="I33" i="5" s="1"/>
  <c r="J33" i="5"/>
  <c r="K33" i="5"/>
  <c r="N33" i="5"/>
  <c r="P33" i="5"/>
  <c r="M33" i="5"/>
  <c r="G33" i="5"/>
  <c r="S33" i="5"/>
  <c r="Y33" i="5"/>
  <c r="T33" i="5"/>
  <c r="E33" i="5"/>
  <c r="F33" i="5" s="1"/>
  <c r="Q33" i="5"/>
  <c r="R33" i="5" s="1"/>
  <c r="W33" i="5"/>
  <c r="X33" i="5"/>
  <c r="Y32" i="5"/>
  <c r="E32" i="5"/>
  <c r="F32" i="5" s="1"/>
  <c r="M32" i="5"/>
  <c r="J32" i="5"/>
  <c r="G32" i="5"/>
  <c r="S32" i="5"/>
  <c r="W32" i="5"/>
  <c r="Q32" i="5"/>
  <c r="R32" i="5" s="1"/>
  <c r="P32" i="5"/>
  <c r="N32" i="5"/>
  <c r="X32" i="5"/>
  <c r="K32" i="5"/>
  <c r="T32" i="5"/>
  <c r="H32" i="5"/>
  <c r="T31" i="5"/>
  <c r="M31" i="5"/>
  <c r="J31" i="5"/>
  <c r="H31" i="5"/>
  <c r="Y31" i="5"/>
  <c r="N31" i="5"/>
  <c r="W31" i="5"/>
  <c r="S31" i="5"/>
  <c r="Q31" i="5"/>
  <c r="G31" i="5"/>
  <c r="E31" i="5"/>
  <c r="F31" i="5" s="1"/>
  <c r="X31" i="5"/>
  <c r="K31" i="5"/>
  <c r="P31" i="5"/>
  <c r="H30" i="5"/>
  <c r="T30" i="5"/>
  <c r="S30" i="5"/>
  <c r="J30" i="5"/>
  <c r="Q30" i="5"/>
  <c r="P30" i="5"/>
  <c r="M30" i="5"/>
  <c r="Y30" i="5"/>
  <c r="X30" i="5"/>
  <c r="N30" i="5"/>
  <c r="G30" i="5"/>
  <c r="W30" i="5"/>
  <c r="K30" i="5"/>
  <c r="E30" i="5"/>
  <c r="F30" i="5" s="1"/>
  <c r="Q29" i="5"/>
  <c r="R29" i="5" s="1"/>
  <c r="P29" i="5"/>
  <c r="X29" i="5"/>
  <c r="H29" i="5"/>
  <c r="S29" i="5"/>
  <c r="K29" i="5"/>
  <c r="W29" i="5"/>
  <c r="M29" i="5"/>
  <c r="E29" i="5"/>
  <c r="F29" i="5" s="1"/>
  <c r="Y29" i="5"/>
  <c r="J29" i="5"/>
  <c r="L29" i="5" s="1"/>
  <c r="T29" i="5"/>
  <c r="G29" i="5"/>
  <c r="N29" i="5"/>
  <c r="S28" i="5"/>
  <c r="W28" i="5"/>
  <c r="N28" i="5"/>
  <c r="J28" i="5"/>
  <c r="G28" i="5"/>
  <c r="M28" i="5"/>
  <c r="Y28" i="5"/>
  <c r="K28" i="5"/>
  <c r="L28" i="5" s="1"/>
  <c r="X28" i="5"/>
  <c r="Q28" i="5"/>
  <c r="T28" i="5"/>
  <c r="E28" i="5"/>
  <c r="F28" i="5" s="1"/>
  <c r="P28" i="5"/>
  <c r="H28" i="5"/>
  <c r="R28" i="5"/>
  <c r="J27" i="5"/>
  <c r="T27" i="5"/>
  <c r="G27" i="5"/>
  <c r="S27" i="5"/>
  <c r="U27" i="5" s="1"/>
  <c r="V27" i="5" s="1"/>
  <c r="M27" i="5"/>
  <c r="N27" i="5"/>
  <c r="W27" i="5"/>
  <c r="P27" i="5"/>
  <c r="Q27" i="5"/>
  <c r="X27" i="5"/>
  <c r="H27" i="5"/>
  <c r="K27" i="5"/>
  <c r="Y27" i="5"/>
  <c r="E27" i="5"/>
  <c r="F27" i="5" s="1"/>
  <c r="G26" i="5"/>
  <c r="Q26" i="5"/>
  <c r="R26" i="5" s="1"/>
  <c r="N26" i="5"/>
  <c r="M26" i="5"/>
  <c r="Y26" i="5"/>
  <c r="X26" i="5"/>
  <c r="T26" i="5"/>
  <c r="E26" i="5"/>
  <c r="F26" i="5" s="1"/>
  <c r="H26" i="5"/>
  <c r="I26" i="5" s="1"/>
  <c r="P26" i="5"/>
  <c r="W26" i="5"/>
  <c r="AB26" i="5" s="1" a="1"/>
  <c r="S26" i="5"/>
  <c r="K26" i="5"/>
  <c r="J26" i="5"/>
  <c r="Q25" i="5"/>
  <c r="R25" i="5" s="1"/>
  <c r="T25" i="5"/>
  <c r="G25" i="5"/>
  <c r="X25" i="5"/>
  <c r="N25" i="5"/>
  <c r="K25" i="5"/>
  <c r="L25" i="5" s="1"/>
  <c r="W25" i="5"/>
  <c r="Y25" i="5"/>
  <c r="J25" i="5"/>
  <c r="P25" i="5"/>
  <c r="E25" i="5"/>
  <c r="F25" i="5" s="1"/>
  <c r="S25" i="5"/>
  <c r="M25" i="5"/>
  <c r="H25" i="5"/>
  <c r="E24" i="5"/>
  <c r="F24" i="5" s="1"/>
  <c r="P24" i="5"/>
  <c r="H24" i="5"/>
  <c r="G24" i="5"/>
  <c r="Q24" i="5"/>
  <c r="R24" i="5" s="1"/>
  <c r="M24" i="5"/>
  <c r="J24" i="5"/>
  <c r="K24" i="5"/>
  <c r="Y24" i="5"/>
  <c r="X24" i="5"/>
  <c r="W24" i="5"/>
  <c r="T24" i="5"/>
  <c r="S24" i="5"/>
  <c r="N24" i="5"/>
  <c r="M23" i="5"/>
  <c r="P23" i="5"/>
  <c r="K23" i="5"/>
  <c r="E23" i="5"/>
  <c r="F23" i="5" s="1"/>
  <c r="N23" i="5"/>
  <c r="H23" i="5"/>
  <c r="W23" i="5"/>
  <c r="X23" i="5"/>
  <c r="G23" i="5"/>
  <c r="S23" i="5"/>
  <c r="Q23" i="5"/>
  <c r="R23" i="5" s="1"/>
  <c r="J23" i="5"/>
  <c r="Y23" i="5"/>
  <c r="T23" i="5"/>
  <c r="H22" i="5"/>
  <c r="M22" i="5"/>
  <c r="Q22" i="5"/>
  <c r="S22" i="5"/>
  <c r="P22" i="5"/>
  <c r="W22" i="5"/>
  <c r="Y22" i="5"/>
  <c r="E22" i="5"/>
  <c r="F22" i="5" s="1"/>
  <c r="G22" i="5"/>
  <c r="N22" i="5"/>
  <c r="K22" i="5"/>
  <c r="J22" i="5"/>
  <c r="X22" i="5"/>
  <c r="T22" i="5"/>
  <c r="M21" i="5"/>
  <c r="X21" i="5"/>
  <c r="P21" i="5"/>
  <c r="Y21" i="5"/>
  <c r="H21" i="5"/>
  <c r="J21" i="5"/>
  <c r="G21" i="5"/>
  <c r="N21" i="5"/>
  <c r="S21" i="5"/>
  <c r="T21" i="5"/>
  <c r="Q21" i="5"/>
  <c r="E21" i="5"/>
  <c r="F21" i="5" s="1"/>
  <c r="W21" i="5"/>
  <c r="AB21" i="5" s="1" a="1"/>
  <c r="K21" i="5"/>
  <c r="M20" i="5"/>
  <c r="K20" i="5"/>
  <c r="T20" i="5"/>
  <c r="H20" i="5"/>
  <c r="X20" i="5"/>
  <c r="G20" i="5"/>
  <c r="E20" i="5"/>
  <c r="F20" i="5" s="1"/>
  <c r="N20" i="5"/>
  <c r="J20" i="5"/>
  <c r="S20" i="5"/>
  <c r="P20" i="5"/>
  <c r="W20" i="5"/>
  <c r="Y20" i="5"/>
  <c r="Q20" i="5"/>
  <c r="R20" i="5" s="1"/>
  <c r="P19" i="5"/>
  <c r="E19" i="5"/>
  <c r="F19" i="5" s="1"/>
  <c r="M19" i="5"/>
  <c r="X19" i="5"/>
  <c r="Y19" i="5"/>
  <c r="G19" i="5"/>
  <c r="Q19" i="5"/>
  <c r="R19" i="5" s="1"/>
  <c r="S19" i="5"/>
  <c r="W19" i="5"/>
  <c r="H19" i="5"/>
  <c r="J19" i="5"/>
  <c r="N19" i="5"/>
  <c r="K19" i="5"/>
  <c r="T19" i="5"/>
  <c r="Q18" i="5"/>
  <c r="K18" i="5"/>
  <c r="G18" i="5"/>
  <c r="J18" i="5"/>
  <c r="N18" i="5"/>
  <c r="P18" i="5"/>
  <c r="S18" i="5"/>
  <c r="M18" i="5"/>
  <c r="W18" i="5"/>
  <c r="X18" i="5"/>
  <c r="T18" i="5"/>
  <c r="U18" i="5" s="1"/>
  <c r="V18" i="5" s="1"/>
  <c r="E18" i="5"/>
  <c r="F18" i="5" s="1"/>
  <c r="H18" i="5"/>
  <c r="I18" i="5" s="1"/>
  <c r="L31" i="5" l="1"/>
  <c r="R27" i="5"/>
  <c r="O29" i="5"/>
  <c r="O27" i="5"/>
  <c r="O31" i="5"/>
  <c r="L27" i="5"/>
  <c r="U29" i="5"/>
  <c r="V29" i="5" s="1"/>
  <c r="U28" i="5"/>
  <c r="V28" i="5" s="1"/>
  <c r="R31" i="5"/>
  <c r="I29" i="5"/>
  <c r="O28" i="5"/>
  <c r="I28" i="5"/>
  <c r="I27" i="5"/>
  <c r="AA29" i="5"/>
  <c r="AC29" i="5"/>
  <c r="AC28" i="5"/>
  <c r="AA28" i="5"/>
  <c r="AA27" i="5"/>
  <c r="AC27" i="5"/>
  <c r="AB37" i="5" a="1"/>
  <c r="AB36" i="5" a="1"/>
  <c r="O34" i="5"/>
  <c r="AB29" i="5" a="1"/>
  <c r="AB24" i="5" a="1"/>
  <c r="I22" i="5"/>
  <c r="O22" i="5"/>
  <c r="AB23" i="5" a="1"/>
  <c r="AB30" i="5" a="1"/>
  <c r="O32" i="5"/>
  <c r="AB27" i="5" a="1"/>
  <c r="AB25" i="5" a="1"/>
  <c r="L21" i="5"/>
  <c r="AB19" i="5" a="1"/>
  <c r="AA34" i="5"/>
  <c r="AC34" i="5"/>
  <c r="AC33" i="5"/>
  <c r="AA33" i="5"/>
  <c r="AC32" i="5"/>
  <c r="AA32" i="5"/>
  <c r="AA31" i="5"/>
  <c r="AC31" i="5"/>
  <c r="AC30" i="5"/>
  <c r="AA30" i="5"/>
  <c r="AC26" i="5"/>
  <c r="AA26" i="5"/>
  <c r="AA25" i="5"/>
  <c r="AC25" i="5"/>
  <c r="AC24" i="5"/>
  <c r="AA24" i="5"/>
  <c r="AC23" i="5"/>
  <c r="AA23" i="5"/>
  <c r="AC22" i="5"/>
  <c r="AA22" i="5"/>
  <c r="AC21" i="5"/>
  <c r="AA21" i="5"/>
  <c r="AC20" i="5"/>
  <c r="AA20" i="5"/>
  <c r="AC19" i="5"/>
  <c r="AA19" i="5"/>
  <c r="AC18" i="5"/>
  <c r="AA18" i="5"/>
  <c r="AB35" i="5" a="1"/>
  <c r="AB34" i="5" a="1"/>
  <c r="U31" i="5"/>
  <c r="V31" i="5" s="1"/>
  <c r="AB28" i="5" a="1"/>
  <c r="AB18" i="5" a="1"/>
  <c r="AB32" i="5" a="1"/>
  <c r="L34" i="5"/>
  <c r="R34" i="5"/>
  <c r="U34" i="5"/>
  <c r="V34" i="5" s="1"/>
  <c r="AB33" i="5" a="1"/>
  <c r="AB31" i="5" a="1"/>
  <c r="AB22" i="5" a="1"/>
  <c r="AB20" i="5" a="1"/>
  <c r="I34" i="5"/>
  <c r="O18" i="5"/>
  <c r="I31" i="5"/>
  <c r="R18" i="5"/>
  <c r="L18" i="5"/>
  <c r="I23" i="5"/>
  <c r="L32" i="5"/>
  <c r="I32" i="5"/>
  <c r="U24" i="5"/>
  <c r="V24" i="5" s="1"/>
  <c r="I19" i="5"/>
  <c r="O33" i="5"/>
  <c r="O26" i="5"/>
  <c r="U32" i="5"/>
  <c r="V32" i="5" s="1"/>
  <c r="U26" i="5"/>
  <c r="V26" i="5" s="1"/>
  <c r="U30" i="5"/>
  <c r="V30" i="5" s="1"/>
  <c r="L20" i="5"/>
  <c r="I21" i="5"/>
  <c r="L24" i="5"/>
  <c r="U19" i="5"/>
  <c r="V19" i="5" s="1"/>
  <c r="O24" i="5"/>
  <c r="O21" i="5"/>
  <c r="O20" i="5"/>
  <c r="L22" i="5"/>
  <c r="U21" i="5"/>
  <c r="V21" i="5" s="1"/>
  <c r="L19" i="5"/>
  <c r="U33" i="5"/>
  <c r="V33" i="5" s="1"/>
  <c r="I25" i="5"/>
  <c r="R21" i="5"/>
  <c r="R22" i="5"/>
  <c r="L33" i="5"/>
  <c r="R30" i="5"/>
  <c r="O30" i="5"/>
  <c r="O23" i="5"/>
  <c r="I20" i="5"/>
  <c r="I24" i="5"/>
  <c r="L23" i="5"/>
  <c r="U23" i="5"/>
  <c r="V23" i="5" s="1"/>
  <c r="I30" i="5"/>
  <c r="L30" i="5"/>
  <c r="O25" i="5"/>
  <c r="L26" i="5"/>
  <c r="U25" i="5"/>
  <c r="V25" i="5" s="1"/>
  <c r="U22" i="5"/>
  <c r="V22" i="5" s="1"/>
  <c r="U20" i="5"/>
  <c r="V20" i="5" s="1"/>
  <c r="O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Wong</author>
  </authors>
  <commentList>
    <comment ref="AB17" authorId="0" shapeId="0" xr:uid="{0E3C73DD-D75C-4CD9-AD8F-EF51C949AC1B}">
      <text>
        <r>
          <rPr>
            <sz val="9"/>
            <color indexed="81"/>
            <rFont val="Tahoma"/>
            <family val="2"/>
          </rPr>
          <t xml:space="preserve">This is an Offensive Metric:
&gt;1: you contribute more offensively than turnovers
&lt;1: you turnover more than you contribute offensively
ball watcher: you have neither made an assist or a turnover
butter fingers: you have not made an assist and have made turnovers
passing god: you have not made turnovers but you have made assists
</t>
        </r>
      </text>
    </comment>
    <comment ref="AC17" authorId="0" shapeId="0" xr:uid="{27B41EBF-F6B6-4C9A-BDAA-CE5B9B6C4EF4}">
      <text>
        <r>
          <rPr>
            <sz val="9"/>
            <color indexed="81"/>
            <rFont val="Tahoma"/>
            <family val="2"/>
          </rPr>
          <t xml:space="preserve">This is a Defensive Indicator about how many times you will create a positive defensive outcome per game.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<sst xmlns="http://schemas.openxmlformats.org/spreadsheetml/2006/main" count="564" uniqueCount="123">
  <si>
    <t>Men's League Basketball Stat Tracker</t>
  </si>
  <si>
    <t>Roster</t>
  </si>
  <si>
    <t>How to use</t>
  </si>
  <si>
    <t>Slot</t>
  </si>
  <si>
    <t>Jersey #</t>
  </si>
  <si>
    <t>Player Name</t>
  </si>
  <si>
    <t>Primary Position</t>
  </si>
  <si>
    <t>Active?</t>
  </si>
  <si>
    <t>1. Fill roster names once.</t>
  </si>
  <si>
    <t>Yes</t>
  </si>
  <si>
    <t>2. Track the current game on Live Game Sheet.</t>
  </si>
  <si>
    <t>3. After the game, paste player rows into Player Game Log with a Game ID.</t>
  </si>
  <si>
    <t>5. Team DREB, OREB, TO, AST, FGA, and FTA summarize from player rows.</t>
  </si>
  <si>
    <t>Live Game Sheet</t>
  </si>
  <si>
    <t>Game Date</t>
  </si>
  <si>
    <t>Opponent</t>
  </si>
  <si>
    <t>Location</t>
  </si>
  <si>
    <t>Score: Enter Total Score At End Of Quarter</t>
  </si>
  <si>
    <t>Team Totals From Player Stats</t>
  </si>
  <si>
    <t>Team</t>
  </si>
  <si>
    <t>Q1 End Total</t>
  </si>
  <si>
    <t>Final Total</t>
  </si>
  <si>
    <t>Q1 Points</t>
  </si>
  <si>
    <t>Q2 Points</t>
  </si>
  <si>
    <t>Game Total</t>
  </si>
  <si>
    <t>2PM</t>
  </si>
  <si>
    <t>2PA</t>
  </si>
  <si>
    <t>3PM</t>
  </si>
  <si>
    <t>3PA</t>
  </si>
  <si>
    <t>FGM</t>
  </si>
  <si>
    <t>FGA</t>
  </si>
  <si>
    <t>FTM</t>
  </si>
  <si>
    <t>FTA</t>
  </si>
  <si>
    <t>DREB</t>
  </si>
  <si>
    <t>OREB</t>
  </si>
  <si>
    <t>AST</t>
  </si>
  <si>
    <t>TO</t>
  </si>
  <si>
    <t>Our Team</t>
  </si>
  <si>
    <t>Player Stat Entry</t>
  </si>
  <si>
    <t>Player</t>
  </si>
  <si>
    <t>PTS</t>
  </si>
  <si>
    <t>FG%</t>
  </si>
  <si>
    <t>FT%</t>
  </si>
  <si>
    <t>Player Game Log</t>
  </si>
  <si>
    <t>Game ID</t>
  </si>
  <si>
    <t>Date</t>
  </si>
  <si>
    <t>Team Game Log</t>
  </si>
  <si>
    <t>Our Q1 End Total</t>
  </si>
  <si>
    <t>Our Final Total</t>
  </si>
  <si>
    <t>Opp Q1 End Total</t>
  </si>
  <si>
    <t>Opp Final Total</t>
  </si>
  <si>
    <t>Our Q1 Points</t>
  </si>
  <si>
    <t>Our Q2 Points</t>
  </si>
  <si>
    <t>Opp Q1 Points</t>
  </si>
  <si>
    <t>Opp Q2 Points</t>
  </si>
  <si>
    <t>Result</t>
  </si>
  <si>
    <t>Margin</t>
  </si>
  <si>
    <t>Player Rows Linked?</t>
  </si>
  <si>
    <t>Season Summary</t>
  </si>
  <si>
    <t>Team Snapshot</t>
  </si>
  <si>
    <t>Games</t>
  </si>
  <si>
    <t>Wins</t>
  </si>
  <si>
    <t>Losses</t>
  </si>
  <si>
    <t>Ties</t>
  </si>
  <si>
    <t>Avg Margin</t>
  </si>
  <si>
    <t>Avg TO</t>
  </si>
  <si>
    <t>Avg OREB</t>
  </si>
  <si>
    <t>Avg DREB</t>
  </si>
  <si>
    <t>Avg AST</t>
  </si>
  <si>
    <t>Avg FGA</t>
  </si>
  <si>
    <t>Avg FTA</t>
  </si>
  <si>
    <t>Avg Q1</t>
  </si>
  <si>
    <t>Avg Q2</t>
  </si>
  <si>
    <t>PPG</t>
  </si>
  <si>
    <t>Max Lee</t>
  </si>
  <si>
    <t>Brendan Wong</t>
  </si>
  <si>
    <t>Kevin Chen</t>
  </si>
  <si>
    <t>Siddarth D</t>
  </si>
  <si>
    <t>Ethan Hu</t>
  </si>
  <si>
    <t>Kenny Liou</t>
  </si>
  <si>
    <t>Xuanyi W</t>
  </si>
  <si>
    <t>Markus Wong</t>
  </si>
  <si>
    <t>Thomas N</t>
  </si>
  <si>
    <t>Michael</t>
  </si>
  <si>
    <t>Eddie</t>
  </si>
  <si>
    <t>Arjun V</t>
  </si>
  <si>
    <t>Yash S</t>
  </si>
  <si>
    <t>Stephen Zhong</t>
  </si>
  <si>
    <t>No</t>
  </si>
  <si>
    <t>Guard</t>
  </si>
  <si>
    <t>Center</t>
  </si>
  <si>
    <t>Forward</t>
  </si>
  <si>
    <t>Forward/Center</t>
  </si>
  <si>
    <t>Forward/Guard</t>
  </si>
  <si>
    <t>Telegraph Hill Community Center</t>
  </si>
  <si>
    <t>White</t>
  </si>
  <si>
    <t>TrnOv</t>
  </si>
  <si>
    <t>STL</t>
  </si>
  <si>
    <t>Avg STL</t>
  </si>
  <si>
    <t>Avg Turnout</t>
  </si>
  <si>
    <t>Turnout</t>
  </si>
  <si>
    <t>4. Paste end-of-quarter total scores in Team Game Log.</t>
  </si>
  <si>
    <t>Will</t>
  </si>
  <si>
    <t>Steven</t>
  </si>
  <si>
    <t>Green</t>
  </si>
  <si>
    <t>7/270/2026</t>
  </si>
  <si>
    <t>2P%</t>
  </si>
  <si>
    <t>3P%</t>
  </si>
  <si>
    <t>OReb</t>
  </si>
  <si>
    <t>DReb</t>
  </si>
  <si>
    <t>Avg Pnts</t>
  </si>
  <si>
    <t>Avg 3PM</t>
  </si>
  <si>
    <t>Avg 2PM</t>
  </si>
  <si>
    <t>Blue</t>
  </si>
  <si>
    <t>BLK</t>
  </si>
  <si>
    <t>AST/TO</t>
  </si>
  <si>
    <t>STOCKS</t>
  </si>
  <si>
    <t>Vee</t>
  </si>
  <si>
    <t>STOCKSPG</t>
  </si>
  <si>
    <t>Player Season Statistics &amp; Analysis</t>
  </si>
  <si>
    <t>Avg BLK</t>
  </si>
  <si>
    <t>TotReb</t>
  </si>
  <si>
    <t>TotRebPG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</si>
</sst>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0000000"/>
  </numFmts>
  <fonts count="9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0"/>
      <name val="Aptos"/>
      <family val="2"/>
    </font>
    <font>
      <sz val="10"/>
      <name val="Aptos"/>
      <family val="2"/>
    </font>
    <font>
      <b/>
      <sz val="10"/>
      <color rgb="FFFFFFFF"/>
      <name val="Aptos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3" fillId="5" borderId="1" xfId="0" applyNumberFormat="1" applyFont="1" applyFill="1" applyBorder="1" applyAlignment="1">
      <alignment vertical="center"/>
    </xf>
    <xf numFmtId="1" fontId="3" fillId="8" borderId="1" xfId="0" applyNumberFormat="1" applyFont="1" applyFill="1" applyBorder="1" applyAlignment="1">
      <alignment vertical="center"/>
    </xf>
    <xf numFmtId="1" fontId="3" fillId="8" borderId="1" xfId="0" applyNumberFormat="1" applyFont="1" applyFill="1" applyBorder="1"/>
    <xf numFmtId="0" fontId="3" fillId="8" borderId="1" xfId="0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165" fontId="3" fillId="8" borderId="1" xfId="0" applyNumberFormat="1" applyFont="1" applyFill="1" applyBorder="1"/>
    <xf numFmtId="164" fontId="3" fillId="8" borderId="1" xfId="0" applyNumberFormat="1" applyFont="1" applyFill="1" applyBorder="1"/>
    <xf numFmtId="0" fontId="6" fillId="5" borderId="1" xfId="0" applyFont="1" applyFill="1" applyBorder="1" applyAlignment="1">
      <alignment vertical="center"/>
    </xf>
    <xf numFmtId="14" fontId="3" fillId="5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0" fontId="0" fillId="0" borderId="0" xfId="0" applyNumberFormat="1"/>
    <xf numFmtId="0" fontId="6" fillId="8" borderId="1" xfId="0" applyFont="1" applyFill="1" applyBorder="1" applyAlignment="1">
      <alignment vertical="center"/>
    </xf>
    <xf numFmtId="14" fontId="6" fillId="5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vertical="center"/>
    </xf>
    <xf numFmtId="10" fontId="5" fillId="8" borderId="1" xfId="0" applyNumberFormat="1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10" fontId="3" fillId="8" borderId="1" xfId="0" applyNumberFormat="1" applyFont="1" applyFill="1" applyBorder="1"/>
    <xf numFmtId="165" fontId="6" fillId="8" borderId="1" xfId="0" applyNumberFormat="1" applyFont="1" applyFill="1" applyBorder="1" applyAlignment="1">
      <alignment vertical="center"/>
    </xf>
    <xf numFmtId="166" fontId="3" fillId="8" borderId="1" xfId="0" applyNumberFormat="1" applyFont="1" applyFill="1" applyBorder="1" applyAlignment="1">
      <alignment horizontal="right"/>
    </xf>
    <xf numFmtId="1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0" fillId="9" borderId="1" xfId="0" applyFill="1" applyBorder="1" applyAlignment="1">
      <alignment wrapText="1"/>
    </xf>
    <xf numFmtId="0" fontId="2" fillId="3" borderId="0" xfId="0" applyFont="1" applyFill="1" applyAlignment="1">
      <alignment horizontal="left" vertical="center"/>
    </xf>
    <xf numFmtId="0" fontId="1" fillId="7" borderId="1" xfId="0" applyFont="1" applyFill="1" applyBorder="1"/>
    <xf numFmtId="0" fontId="2" fillId="7" borderId="0" xfId="0" applyFont="1" applyFill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workbookViewId="0">
      <selection activeCell="E21" sqref="E21"/>
    </sheetView>
  </sheetViews>
  <sheetFormatPr defaultRowHeight="14"/>
  <cols>
    <col min="1" max="1" width="10" customWidth="1"/>
    <col min="2" max="2" width="12" customWidth="1"/>
    <col min="3" max="3" width="24" customWidth="1"/>
    <col min="4" max="4" width="18" customWidth="1"/>
    <col min="5" max="5" width="12" customWidth="1"/>
    <col min="6" max="6" width="4" customWidth="1"/>
    <col min="7" max="10" width="18" customWidth="1"/>
  </cols>
  <sheetData>
    <row r="1" spans="1:10" ht="15" customHeight="1">
      <c r="A1" s="31" t="s">
        <v>0</v>
      </c>
      <c r="B1" s="31" t="s">
        <v>0</v>
      </c>
      <c r="C1" s="31" t="s">
        <v>0</v>
      </c>
      <c r="D1" s="31" t="s">
        <v>0</v>
      </c>
      <c r="E1" s="31" t="s">
        <v>0</v>
      </c>
    </row>
    <row r="2" spans="1:10" ht="15" customHeight="1">
      <c r="A2" s="1"/>
      <c r="B2" s="1"/>
      <c r="C2" s="1"/>
      <c r="D2" s="1"/>
      <c r="E2" s="1"/>
    </row>
    <row r="3" spans="1:10" ht="15" customHeight="1">
      <c r="A3" s="34" t="s">
        <v>1</v>
      </c>
      <c r="B3" s="34" t="s">
        <v>1</v>
      </c>
      <c r="C3" s="34" t="s">
        <v>1</v>
      </c>
      <c r="D3" s="34" t="s">
        <v>1</v>
      </c>
      <c r="E3" s="34" t="s">
        <v>1</v>
      </c>
      <c r="G3" s="35" t="s">
        <v>2</v>
      </c>
      <c r="H3" s="35"/>
      <c r="I3" s="35"/>
      <c r="J3" s="35"/>
    </row>
    <row r="4" spans="1:10" ht="15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G4" s="33" t="s">
        <v>8</v>
      </c>
      <c r="H4" s="33"/>
      <c r="I4" s="33"/>
      <c r="J4" s="33"/>
    </row>
    <row r="5" spans="1:10" ht="15" customHeight="1">
      <c r="A5" s="3">
        <v>1</v>
      </c>
      <c r="B5" s="4"/>
      <c r="C5" s="4" t="s">
        <v>75</v>
      </c>
      <c r="D5" s="4" t="s">
        <v>89</v>
      </c>
      <c r="E5" s="4" t="s">
        <v>9</v>
      </c>
      <c r="G5" s="33" t="s">
        <v>10</v>
      </c>
      <c r="H5" s="33"/>
      <c r="I5" s="33"/>
      <c r="J5" s="33"/>
    </row>
    <row r="6" spans="1:10" ht="15" customHeight="1">
      <c r="A6" s="3">
        <v>2</v>
      </c>
      <c r="B6" s="4"/>
      <c r="C6" s="4" t="s">
        <v>76</v>
      </c>
      <c r="D6" s="4" t="s">
        <v>89</v>
      </c>
      <c r="E6" s="4" t="s">
        <v>9</v>
      </c>
      <c r="G6" s="33" t="s">
        <v>11</v>
      </c>
      <c r="H6" s="33"/>
      <c r="I6" s="33"/>
      <c r="J6" s="33"/>
    </row>
    <row r="7" spans="1:10" ht="15" customHeight="1">
      <c r="A7" s="3">
        <v>3</v>
      </c>
      <c r="B7" s="4"/>
      <c r="C7" s="4" t="s">
        <v>77</v>
      </c>
      <c r="D7" s="4" t="s">
        <v>90</v>
      </c>
      <c r="E7" s="4" t="s">
        <v>9</v>
      </c>
      <c r="G7" s="33" t="s">
        <v>101</v>
      </c>
      <c r="H7" s="33"/>
      <c r="I7" s="33"/>
      <c r="J7" s="33"/>
    </row>
    <row r="8" spans="1:10" ht="15" customHeight="1">
      <c r="A8" s="3">
        <v>4</v>
      </c>
      <c r="B8" s="4"/>
      <c r="C8" s="4" t="s">
        <v>78</v>
      </c>
      <c r="D8" s="4" t="s">
        <v>91</v>
      </c>
      <c r="E8" s="4" t="s">
        <v>9</v>
      </c>
      <c r="G8" s="33" t="s">
        <v>12</v>
      </c>
      <c r="H8" s="33"/>
      <c r="I8" s="33"/>
      <c r="J8" s="33"/>
    </row>
    <row r="9" spans="1:10" ht="15" customHeight="1">
      <c r="A9" s="3">
        <v>5</v>
      </c>
      <c r="B9" s="4"/>
      <c r="C9" s="4" t="s">
        <v>79</v>
      </c>
      <c r="D9" s="4" t="s">
        <v>92</v>
      </c>
      <c r="E9" s="4" t="s">
        <v>9</v>
      </c>
    </row>
    <row r="10" spans="1:10" ht="15" customHeight="1">
      <c r="A10" s="3">
        <v>6</v>
      </c>
      <c r="B10" s="4"/>
      <c r="C10" s="4" t="s">
        <v>74</v>
      </c>
      <c r="D10" s="4" t="s">
        <v>91</v>
      </c>
      <c r="E10" s="4" t="s">
        <v>9</v>
      </c>
    </row>
    <row r="11" spans="1:10" ht="15" customHeight="1">
      <c r="A11" s="3">
        <v>7</v>
      </c>
      <c r="B11" s="4"/>
      <c r="C11" s="4" t="s">
        <v>80</v>
      </c>
      <c r="D11" s="4" t="s">
        <v>89</v>
      </c>
      <c r="E11" s="4" t="s">
        <v>9</v>
      </c>
    </row>
    <row r="12" spans="1:10" ht="15" customHeight="1">
      <c r="A12" s="3">
        <v>8</v>
      </c>
      <c r="B12" s="4"/>
      <c r="C12" s="4" t="s">
        <v>81</v>
      </c>
      <c r="D12" s="4" t="s">
        <v>89</v>
      </c>
      <c r="E12" s="4" t="s">
        <v>9</v>
      </c>
    </row>
    <row r="13" spans="1:10" ht="15" customHeight="1">
      <c r="A13" s="3">
        <v>9</v>
      </c>
      <c r="B13" s="4"/>
      <c r="C13" s="4" t="s">
        <v>82</v>
      </c>
      <c r="D13" s="4" t="s">
        <v>89</v>
      </c>
      <c r="E13" s="4" t="s">
        <v>9</v>
      </c>
    </row>
    <row r="14" spans="1:10" ht="15" customHeight="1">
      <c r="A14" s="3">
        <v>10</v>
      </c>
      <c r="B14" s="4"/>
      <c r="C14" s="4" t="s">
        <v>85</v>
      </c>
      <c r="D14" s="4" t="s">
        <v>89</v>
      </c>
      <c r="E14" s="4" t="s">
        <v>9</v>
      </c>
    </row>
    <row r="15" spans="1:10" ht="15" customHeight="1">
      <c r="A15" s="3">
        <v>11</v>
      </c>
      <c r="B15" s="4"/>
      <c r="C15" s="4" t="s">
        <v>86</v>
      </c>
      <c r="D15" s="4" t="s">
        <v>91</v>
      </c>
      <c r="E15" s="4" t="s">
        <v>9</v>
      </c>
    </row>
    <row r="16" spans="1:10" ht="15" customHeight="1">
      <c r="A16" s="3">
        <v>12</v>
      </c>
      <c r="B16" s="4"/>
      <c r="C16" s="4" t="s">
        <v>102</v>
      </c>
      <c r="D16" s="4" t="s">
        <v>89</v>
      </c>
      <c r="E16" s="4" t="s">
        <v>9</v>
      </c>
    </row>
    <row r="17" spans="1:5" ht="15" customHeight="1">
      <c r="A17" s="3">
        <v>13</v>
      </c>
      <c r="B17" s="4"/>
      <c r="C17" s="4" t="s">
        <v>103</v>
      </c>
      <c r="D17" s="4" t="s">
        <v>89</v>
      </c>
      <c r="E17" s="4" t="s">
        <v>9</v>
      </c>
    </row>
    <row r="18" spans="1:5" ht="15" customHeight="1">
      <c r="A18" s="3">
        <v>14</v>
      </c>
      <c r="B18" s="4"/>
      <c r="C18" s="4" t="s">
        <v>117</v>
      </c>
      <c r="D18" s="4" t="s">
        <v>90</v>
      </c>
      <c r="E18" s="4" t="s">
        <v>9</v>
      </c>
    </row>
    <row r="19" spans="1:5" ht="15" customHeight="1">
      <c r="A19" s="3">
        <v>15</v>
      </c>
      <c r="B19" s="4"/>
      <c r="C19" s="4" t="s">
        <v>83</v>
      </c>
      <c r="D19" s="4" t="s">
        <v>93</v>
      </c>
      <c r="E19" s="4" t="s">
        <v>88</v>
      </c>
    </row>
    <row r="20" spans="1:5" ht="15" customHeight="1">
      <c r="A20" s="3">
        <v>16</v>
      </c>
      <c r="B20" s="4"/>
      <c r="C20" s="4" t="s">
        <v>84</v>
      </c>
      <c r="D20" s="4" t="s">
        <v>89</v>
      </c>
      <c r="E20" s="4" t="s">
        <v>88</v>
      </c>
    </row>
    <row r="21" spans="1:5" ht="15" customHeight="1">
      <c r="A21" s="3">
        <v>17</v>
      </c>
      <c r="B21" s="4"/>
      <c r="C21" s="4" t="s">
        <v>87</v>
      </c>
      <c r="D21" s="4" t="s">
        <v>91</v>
      </c>
      <c r="E21" s="4" t="s">
        <v>88</v>
      </c>
    </row>
    <row r="22" spans="1:5" ht="15" customHeight="1">
      <c r="A22" s="3">
        <v>18</v>
      </c>
      <c r="B22" s="4"/>
      <c r="C22" s="4"/>
      <c r="D22" s="4"/>
      <c r="E22" s="4" t="s">
        <v>88</v>
      </c>
    </row>
    <row r="23" spans="1:5" ht="15" customHeight="1">
      <c r="A23" s="3">
        <v>19</v>
      </c>
      <c r="B23" s="4"/>
      <c r="C23" s="4"/>
      <c r="D23" s="4"/>
      <c r="E23" s="4" t="s">
        <v>88</v>
      </c>
    </row>
    <row r="24" spans="1:5" ht="15" customHeight="1">
      <c r="A24" s="3">
        <v>20</v>
      </c>
      <c r="B24" s="4"/>
      <c r="C24" s="4"/>
      <c r="D24" s="4"/>
      <c r="E24" s="4" t="s">
        <v>88</v>
      </c>
    </row>
  </sheetData>
  <mergeCells count="8">
    <mergeCell ref="G6:J6"/>
    <mergeCell ref="G7:J7"/>
    <mergeCell ref="G8:J8"/>
    <mergeCell ref="A1:E1"/>
    <mergeCell ref="A3:E3"/>
    <mergeCell ref="G3:J3"/>
    <mergeCell ref="G4:J4"/>
    <mergeCell ref="G5:J5"/>
  </mergeCells>
  <dataValidations count="1">
    <dataValidation type="list" sqref="E5:E24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showGridLines="0" workbookViewId="0">
      <selection activeCell="R11" sqref="R11"/>
    </sheetView>
  </sheetViews>
  <sheetFormatPr defaultRowHeight="14"/>
  <cols>
    <col min="1" max="1" width="8" customWidth="1"/>
    <col min="2" max="2" width="10" customWidth="1"/>
    <col min="3" max="3" width="20" customWidth="1"/>
    <col min="4" max="17" width="8" customWidth="1"/>
    <col min="18" max="19" width="9" customWidth="1"/>
    <col min="20" max="20" width="8" customWidth="1"/>
  </cols>
  <sheetData>
    <row r="1" spans="1:20" ht="15" customHeight="1">
      <c r="A1" s="31" t="s">
        <v>13</v>
      </c>
      <c r="B1" s="31" t="s">
        <v>13</v>
      </c>
      <c r="C1" s="31" t="s">
        <v>13</v>
      </c>
      <c r="D1" s="31" t="s">
        <v>13</v>
      </c>
      <c r="E1" s="31" t="s">
        <v>13</v>
      </c>
      <c r="F1" s="31" t="s">
        <v>13</v>
      </c>
      <c r="G1" s="31" t="s">
        <v>13</v>
      </c>
      <c r="H1" s="31" t="s">
        <v>13</v>
      </c>
      <c r="I1" s="31" t="s">
        <v>13</v>
      </c>
      <c r="J1" s="31" t="s">
        <v>13</v>
      </c>
      <c r="K1" s="31" t="s">
        <v>13</v>
      </c>
      <c r="L1" s="31" t="s">
        <v>13</v>
      </c>
      <c r="M1" s="31" t="s">
        <v>13</v>
      </c>
      <c r="N1" s="31"/>
      <c r="O1" s="31" t="s">
        <v>13</v>
      </c>
      <c r="P1" s="31" t="s">
        <v>13</v>
      </c>
      <c r="Q1" s="31" t="s">
        <v>13</v>
      </c>
      <c r="R1" s="31" t="s">
        <v>13</v>
      </c>
      <c r="S1" s="31" t="s">
        <v>13</v>
      </c>
      <c r="T1" s="31" t="s">
        <v>13</v>
      </c>
    </row>
    <row r="2" spans="1:20" ht="15" customHeight="1">
      <c r="A2" s="5" t="s">
        <v>14</v>
      </c>
      <c r="B2" s="20" t="s">
        <v>105</v>
      </c>
      <c r="C2" s="6"/>
      <c r="D2" s="6" t="s">
        <v>15</v>
      </c>
      <c r="E2" s="14" t="s">
        <v>95</v>
      </c>
      <c r="F2" s="6"/>
      <c r="G2" s="6" t="s">
        <v>16</v>
      </c>
      <c r="H2" s="14" t="s">
        <v>94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>
      <c r="A4" s="36" t="s">
        <v>17</v>
      </c>
      <c r="B4" s="36" t="s">
        <v>17</v>
      </c>
      <c r="C4" s="36" t="s">
        <v>17</v>
      </c>
      <c r="D4" s="36" t="s">
        <v>17</v>
      </c>
      <c r="E4" s="36" t="s">
        <v>17</v>
      </c>
      <c r="F4" s="36" t="s">
        <v>17</v>
      </c>
      <c r="G4" s="1"/>
      <c r="H4" s="36" t="s">
        <v>18</v>
      </c>
      <c r="I4" s="36" t="s">
        <v>18</v>
      </c>
      <c r="J4" s="36" t="s">
        <v>18</v>
      </c>
      <c r="K4" s="36" t="s">
        <v>18</v>
      </c>
      <c r="L4" s="36" t="s">
        <v>18</v>
      </c>
      <c r="M4" s="36" t="s">
        <v>18</v>
      </c>
      <c r="N4" s="36"/>
      <c r="O4" s="36" t="s">
        <v>18</v>
      </c>
      <c r="P4" s="36" t="s">
        <v>18</v>
      </c>
      <c r="Q4" s="36" t="s">
        <v>18</v>
      </c>
      <c r="R4" s="36" t="s">
        <v>18</v>
      </c>
      <c r="S4" s="36" t="s">
        <v>18</v>
      </c>
      <c r="T4" s="36" t="s">
        <v>18</v>
      </c>
    </row>
    <row r="5" spans="1:20" ht="24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1"/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97</v>
      </c>
    </row>
    <row r="6" spans="1:20" ht="15" customHeight="1">
      <c r="A6" s="6" t="s">
        <v>37</v>
      </c>
      <c r="B6" s="7">
        <v>17</v>
      </c>
      <c r="C6" s="7">
        <v>31</v>
      </c>
      <c r="D6" s="8">
        <f>IF(B6="","",B6)</f>
        <v>17</v>
      </c>
      <c r="E6" s="8">
        <f>IF(OR(B6="",C6=""),"",C6-B6)</f>
        <v>14</v>
      </c>
      <c r="F6" s="8">
        <f>IF(C6="","",C6)</f>
        <v>31</v>
      </c>
      <c r="G6" s="1"/>
      <c r="H6" s="9">
        <f>SUM(D10:D30)</f>
        <v>10</v>
      </c>
      <c r="I6" s="9">
        <f>SUM(E10:E30)</f>
        <v>30</v>
      </c>
      <c r="J6" s="9">
        <f>SUM(F10:F30)</f>
        <v>2</v>
      </c>
      <c r="K6" s="9">
        <f>SUM(G10:G30)</f>
        <v>30</v>
      </c>
      <c r="L6" s="9">
        <f>SUM(D10:D30)+SUM(F10:F30)</f>
        <v>12</v>
      </c>
      <c r="M6" s="9">
        <f>SUM(E10:E30)+SUM(G10:G30)</f>
        <v>60</v>
      </c>
      <c r="N6" s="9">
        <f t="shared" ref="N6:T6" si="0">SUM(H10:H30)</f>
        <v>5</v>
      </c>
      <c r="O6" s="9">
        <f t="shared" si="0"/>
        <v>11</v>
      </c>
      <c r="P6" s="9">
        <f t="shared" si="0"/>
        <v>24</v>
      </c>
      <c r="Q6" s="9">
        <f t="shared" si="0"/>
        <v>3</v>
      </c>
      <c r="R6" s="9">
        <f t="shared" si="0"/>
        <v>2</v>
      </c>
      <c r="S6" s="9">
        <f t="shared" si="0"/>
        <v>4</v>
      </c>
      <c r="T6" s="9">
        <f t="shared" si="0"/>
        <v>4</v>
      </c>
    </row>
    <row r="7" spans="1:20" ht="15" customHeight="1">
      <c r="A7" s="6" t="s">
        <v>15</v>
      </c>
      <c r="B7" s="7">
        <v>31</v>
      </c>
      <c r="C7" s="7">
        <v>67</v>
      </c>
      <c r="D7" s="8">
        <f>IF(B7="","",B7)</f>
        <v>31</v>
      </c>
      <c r="E7" s="8">
        <f>IF(OR(B7="",C7=""),"",C7-B7)</f>
        <v>36</v>
      </c>
      <c r="F7" s="8">
        <f>IF(C7="","",C7)</f>
        <v>67</v>
      </c>
      <c r="G7" s="1"/>
      <c r="H7" s="16" t="s">
        <v>106</v>
      </c>
      <c r="I7" s="26">
        <f>H6/I6</f>
        <v>0.33333333333333331</v>
      </c>
      <c r="J7" s="16" t="s">
        <v>107</v>
      </c>
      <c r="K7" s="26">
        <f>J6/K6</f>
        <v>6.6666666666666666E-2</v>
      </c>
      <c r="L7" s="16" t="s">
        <v>41</v>
      </c>
      <c r="M7" s="26">
        <f>L6/M6</f>
        <v>0.2</v>
      </c>
      <c r="N7" s="16" t="s">
        <v>42</v>
      </c>
      <c r="O7" s="26">
        <f>N6/O6</f>
        <v>0.45454545454545453</v>
      </c>
      <c r="P7" s="1"/>
      <c r="Q7" s="1"/>
      <c r="R7" s="1"/>
      <c r="S7" s="1"/>
      <c r="T7" s="1"/>
    </row>
    <row r="8" spans="1:2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customHeight="1">
      <c r="A9" s="34" t="s">
        <v>38</v>
      </c>
      <c r="B9" s="34" t="s">
        <v>38</v>
      </c>
      <c r="C9" s="34" t="s">
        <v>38</v>
      </c>
      <c r="D9" s="34" t="s">
        <v>38</v>
      </c>
      <c r="E9" s="34" t="s">
        <v>38</v>
      </c>
      <c r="F9" s="34" t="s">
        <v>38</v>
      </c>
      <c r="G9" s="34" t="s">
        <v>38</v>
      </c>
      <c r="H9" s="34" t="s">
        <v>38</v>
      </c>
      <c r="I9" s="34" t="s">
        <v>38</v>
      </c>
      <c r="J9" s="34" t="s">
        <v>38</v>
      </c>
      <c r="K9" s="34" t="s">
        <v>38</v>
      </c>
      <c r="L9" s="34" t="s">
        <v>38</v>
      </c>
      <c r="M9" s="34" t="s">
        <v>38</v>
      </c>
      <c r="N9" s="34"/>
      <c r="O9" s="34" t="s">
        <v>38</v>
      </c>
      <c r="P9" s="34" t="s">
        <v>38</v>
      </c>
      <c r="Q9" s="34" t="s">
        <v>38</v>
      </c>
      <c r="R9" s="34" t="s">
        <v>38</v>
      </c>
      <c r="S9" s="34" t="s">
        <v>38</v>
      </c>
      <c r="T9" s="34" t="s">
        <v>38</v>
      </c>
    </row>
    <row r="10" spans="1:20" ht="15" customHeight="1">
      <c r="A10" s="2" t="s">
        <v>3</v>
      </c>
      <c r="B10" s="2" t="s">
        <v>4</v>
      </c>
      <c r="C10" s="2" t="s">
        <v>39</v>
      </c>
      <c r="D10" s="2" t="s">
        <v>25</v>
      </c>
      <c r="E10" s="2" t="s">
        <v>26</v>
      </c>
      <c r="F10" s="2" t="s">
        <v>27</v>
      </c>
      <c r="G10" s="2" t="s">
        <v>28</v>
      </c>
      <c r="H10" s="16" t="s">
        <v>31</v>
      </c>
      <c r="I10" s="16" t="s">
        <v>32</v>
      </c>
      <c r="J10" s="2" t="s">
        <v>33</v>
      </c>
      <c r="K10" s="2" t="s">
        <v>34</v>
      </c>
      <c r="L10" s="2" t="s">
        <v>35</v>
      </c>
      <c r="M10" s="16" t="s">
        <v>96</v>
      </c>
      <c r="N10" s="16" t="s">
        <v>97</v>
      </c>
      <c r="O10" s="2" t="s">
        <v>29</v>
      </c>
      <c r="P10" s="2" t="s">
        <v>30</v>
      </c>
      <c r="Q10" s="2" t="s">
        <v>40</v>
      </c>
      <c r="R10" s="2" t="s">
        <v>41</v>
      </c>
      <c r="S10" s="2" t="s">
        <v>42</v>
      </c>
      <c r="T10" s="1"/>
    </row>
    <row r="11" spans="1:20" ht="15" customHeight="1">
      <c r="A11" s="3">
        <v>1</v>
      </c>
      <c r="B11" s="10" t="str">
        <f>IF(Roster!B5="","",Roster!B5)</f>
        <v/>
      </c>
      <c r="C11" s="19" t="str">
        <f>IF(Roster!C5="","",Roster!C5)</f>
        <v>Brendan Wong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 t="str">
        <f t="shared" ref="O11:O30" si="1">IF(SUM(D11,F11)=0,"",D11+F11)</f>
        <v/>
      </c>
      <c r="P11" s="8" t="str">
        <f t="shared" ref="P11:P30" si="2">IF(SUM(E11,G11)=0,"",E11+G11)</f>
        <v/>
      </c>
      <c r="Q11" s="8" t="str">
        <f t="shared" ref="Q11:Q30" si="3">IF(SUM(D11,F11,H11)=0,"",D11*2+F11*3+H11)</f>
        <v/>
      </c>
      <c r="R11" s="11" t="str">
        <f>IF(P11="","",IF(O11="",0,O11/P11))</f>
        <v/>
      </c>
      <c r="S11" s="11" t="str">
        <f t="shared" ref="S11:S30" si="4">IF(I11=0,"",H11/I11)</f>
        <v/>
      </c>
      <c r="T11" s="1"/>
    </row>
    <row r="12" spans="1:20" ht="15" customHeight="1">
      <c r="A12" s="3">
        <v>2</v>
      </c>
      <c r="B12" s="10" t="str">
        <f>IF(Roster!B6="","",Roster!B6)</f>
        <v/>
      </c>
      <c r="C12" s="19" t="str">
        <f>IF(Roster!C6="","",Roster!C6)</f>
        <v>Kevin Chen</v>
      </c>
      <c r="D12" s="7">
        <v>5</v>
      </c>
      <c r="E12" s="7">
        <v>14</v>
      </c>
      <c r="F12" s="7">
        <v>1</v>
      </c>
      <c r="G12" s="7">
        <v>2</v>
      </c>
      <c r="H12" s="7">
        <v>2</v>
      </c>
      <c r="I12" s="7">
        <v>8</v>
      </c>
      <c r="J12" s="7">
        <v>6</v>
      </c>
      <c r="K12" s="7">
        <v>0</v>
      </c>
      <c r="L12" s="7">
        <v>1</v>
      </c>
      <c r="M12" s="7">
        <v>2</v>
      </c>
      <c r="N12" s="7">
        <v>1</v>
      </c>
      <c r="O12" s="8">
        <f t="shared" si="1"/>
        <v>6</v>
      </c>
      <c r="P12" s="8">
        <f t="shared" si="2"/>
        <v>16</v>
      </c>
      <c r="Q12" s="8">
        <f t="shared" si="3"/>
        <v>15</v>
      </c>
      <c r="R12" s="11">
        <f t="shared" ref="R12:R30" si="5">IF(P12="","",IF(O12="",0,O12/P12))</f>
        <v>0.375</v>
      </c>
      <c r="S12" s="11">
        <f t="shared" si="4"/>
        <v>0.25</v>
      </c>
      <c r="T12" s="1"/>
    </row>
    <row r="13" spans="1:20" ht="15" customHeight="1">
      <c r="A13" s="3">
        <v>3</v>
      </c>
      <c r="B13" s="10" t="str">
        <f>IF(Roster!B7="","",Roster!B7)</f>
        <v/>
      </c>
      <c r="C13" s="19" t="str">
        <f>IF(Roster!C7="","",Roster!C7)</f>
        <v>Siddarth D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 t="str">
        <f t="shared" si="1"/>
        <v/>
      </c>
      <c r="P13" s="8" t="str">
        <f t="shared" si="2"/>
        <v/>
      </c>
      <c r="Q13" s="8" t="str">
        <f t="shared" si="3"/>
        <v/>
      </c>
      <c r="R13" s="11" t="str">
        <f t="shared" si="5"/>
        <v/>
      </c>
      <c r="S13" s="11" t="str">
        <f t="shared" si="4"/>
        <v/>
      </c>
      <c r="T13" s="1"/>
    </row>
    <row r="14" spans="1:20" ht="15" customHeight="1">
      <c r="A14" s="3">
        <v>4</v>
      </c>
      <c r="B14" s="10" t="str">
        <f>IF(Roster!B8="","",Roster!B8)</f>
        <v/>
      </c>
      <c r="C14" s="19" t="str">
        <f>IF(Roster!C8="","",Roster!C8)</f>
        <v>Ethan Hu</v>
      </c>
      <c r="D14" s="7">
        <v>0</v>
      </c>
      <c r="E14" s="7">
        <v>1</v>
      </c>
      <c r="F14" s="7">
        <v>0</v>
      </c>
      <c r="G14" s="7">
        <v>4</v>
      </c>
      <c r="H14" s="7">
        <v>0</v>
      </c>
      <c r="I14" s="7">
        <v>0</v>
      </c>
      <c r="J14" s="7">
        <v>2</v>
      </c>
      <c r="K14" s="7">
        <v>0</v>
      </c>
      <c r="L14" s="7">
        <v>0</v>
      </c>
      <c r="M14" s="7">
        <v>1</v>
      </c>
      <c r="N14" s="7">
        <v>0</v>
      </c>
      <c r="O14" s="8" t="str">
        <f t="shared" si="1"/>
        <v/>
      </c>
      <c r="P14" s="8">
        <f t="shared" si="2"/>
        <v>5</v>
      </c>
      <c r="Q14" s="8" t="str">
        <f t="shared" si="3"/>
        <v/>
      </c>
      <c r="R14" s="11">
        <f t="shared" si="5"/>
        <v>0</v>
      </c>
      <c r="S14" s="11" t="str">
        <f t="shared" si="4"/>
        <v/>
      </c>
      <c r="T14" s="1"/>
    </row>
    <row r="15" spans="1:20" ht="15" customHeight="1">
      <c r="A15" s="3">
        <v>5</v>
      </c>
      <c r="B15" s="10" t="str">
        <f>IF(Roster!B9="","",Roster!B9)</f>
        <v/>
      </c>
      <c r="C15" s="19" t="str">
        <f>IF(Roster!C9="","",Roster!C9)</f>
        <v>Kenny Liou</v>
      </c>
      <c r="D15" s="7">
        <v>0</v>
      </c>
      <c r="E15" s="7">
        <v>3</v>
      </c>
      <c r="F15" s="7">
        <v>0</v>
      </c>
      <c r="G15" s="7">
        <v>1</v>
      </c>
      <c r="H15" s="7">
        <v>0</v>
      </c>
      <c r="I15" s="7">
        <v>0</v>
      </c>
      <c r="J15" s="7">
        <v>5</v>
      </c>
      <c r="K15" s="7">
        <v>1</v>
      </c>
      <c r="L15" s="7">
        <v>0</v>
      </c>
      <c r="M15" s="7">
        <v>0</v>
      </c>
      <c r="N15" s="7">
        <v>1</v>
      </c>
      <c r="O15" s="8" t="str">
        <f t="shared" si="1"/>
        <v/>
      </c>
      <c r="P15" s="8">
        <f t="shared" si="2"/>
        <v>4</v>
      </c>
      <c r="Q15" s="8" t="str">
        <f t="shared" si="3"/>
        <v/>
      </c>
      <c r="R15" s="11">
        <f t="shared" si="5"/>
        <v>0</v>
      </c>
      <c r="S15" s="11" t="str">
        <f t="shared" si="4"/>
        <v/>
      </c>
      <c r="T15" s="1"/>
    </row>
    <row r="16" spans="1:20" ht="15" customHeight="1">
      <c r="A16" s="3">
        <v>6</v>
      </c>
      <c r="B16" s="10" t="str">
        <f>IF(Roster!B10="","",Roster!B10)</f>
        <v/>
      </c>
      <c r="C16" s="19" t="str">
        <f>IF(Roster!C10="","",Roster!C10)</f>
        <v>Max Lee</v>
      </c>
      <c r="D16" s="7">
        <v>0</v>
      </c>
      <c r="E16" s="7">
        <v>0</v>
      </c>
      <c r="F16" s="7">
        <v>0</v>
      </c>
      <c r="G16" s="7">
        <v>7</v>
      </c>
      <c r="H16" s="7">
        <v>0</v>
      </c>
      <c r="I16" s="7">
        <v>0</v>
      </c>
      <c r="J16" s="7">
        <v>2</v>
      </c>
      <c r="K16" s="7">
        <v>1</v>
      </c>
      <c r="L16" s="7">
        <v>0</v>
      </c>
      <c r="M16" s="7">
        <v>0</v>
      </c>
      <c r="N16" s="7">
        <v>0</v>
      </c>
      <c r="O16" s="8" t="str">
        <f t="shared" si="1"/>
        <v/>
      </c>
      <c r="P16" s="8">
        <f t="shared" si="2"/>
        <v>7</v>
      </c>
      <c r="Q16" s="8" t="str">
        <f t="shared" si="3"/>
        <v/>
      </c>
      <c r="R16" s="11">
        <f t="shared" si="5"/>
        <v>0</v>
      </c>
      <c r="S16" s="11" t="str">
        <f t="shared" si="4"/>
        <v/>
      </c>
      <c r="T16" s="1"/>
    </row>
    <row r="17" spans="1:20" ht="15" customHeight="1">
      <c r="A17" s="3">
        <v>7</v>
      </c>
      <c r="B17" s="10" t="str">
        <f>IF(Roster!B11="","",Roster!B11)</f>
        <v/>
      </c>
      <c r="C17" s="19" t="str">
        <f>IF(Roster!C11="","",Roster!C11)</f>
        <v>Xuanyi W</v>
      </c>
      <c r="D17" s="7">
        <v>1</v>
      </c>
      <c r="E17" s="7">
        <v>1</v>
      </c>
      <c r="F17" s="7">
        <v>1</v>
      </c>
      <c r="G17" s="7">
        <v>3</v>
      </c>
      <c r="H17" s="7">
        <v>0</v>
      </c>
      <c r="I17" s="7">
        <v>0</v>
      </c>
      <c r="J17" s="7">
        <v>4</v>
      </c>
      <c r="K17" s="7">
        <v>1</v>
      </c>
      <c r="L17" s="7">
        <v>0</v>
      </c>
      <c r="M17" s="7">
        <v>0</v>
      </c>
      <c r="N17" s="7">
        <v>1</v>
      </c>
      <c r="O17" s="8">
        <f t="shared" si="1"/>
        <v>2</v>
      </c>
      <c r="P17" s="8">
        <f t="shared" si="2"/>
        <v>4</v>
      </c>
      <c r="Q17" s="8">
        <f t="shared" si="3"/>
        <v>5</v>
      </c>
      <c r="R17" s="11">
        <f t="shared" si="5"/>
        <v>0.5</v>
      </c>
      <c r="S17" s="11" t="str">
        <f t="shared" si="4"/>
        <v/>
      </c>
      <c r="T17" s="1"/>
    </row>
    <row r="18" spans="1:20" ht="15" customHeight="1">
      <c r="A18" s="3">
        <v>8</v>
      </c>
      <c r="B18" s="10" t="str">
        <f>IF(Roster!B12="","",Roster!B12)</f>
        <v/>
      </c>
      <c r="C18" s="19" t="str">
        <f>IF(Roster!C12="","",Roster!C12)</f>
        <v>Markus Wong</v>
      </c>
      <c r="D18" s="7">
        <v>0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8" t="str">
        <f t="shared" si="1"/>
        <v/>
      </c>
      <c r="P18" s="8">
        <f t="shared" si="2"/>
        <v>2</v>
      </c>
      <c r="Q18" s="8" t="str">
        <f t="shared" si="3"/>
        <v/>
      </c>
      <c r="R18" s="11">
        <f t="shared" si="5"/>
        <v>0</v>
      </c>
      <c r="S18" s="11" t="str">
        <f t="shared" si="4"/>
        <v/>
      </c>
      <c r="T18" s="1"/>
    </row>
    <row r="19" spans="1:20" ht="15" customHeight="1">
      <c r="A19" s="3">
        <v>9</v>
      </c>
      <c r="B19" s="10" t="str">
        <f>IF(Roster!B13="","",Roster!B13)</f>
        <v/>
      </c>
      <c r="C19" s="19" t="str">
        <f>IF(Roster!C13="","",Roster!C13)</f>
        <v>Thomas N</v>
      </c>
      <c r="D19" s="7">
        <v>0</v>
      </c>
      <c r="E19" s="7">
        <v>0</v>
      </c>
      <c r="F19" s="7">
        <v>0</v>
      </c>
      <c r="G19" s="7">
        <v>3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8" t="str">
        <f t="shared" si="1"/>
        <v/>
      </c>
      <c r="P19" s="8">
        <f t="shared" si="2"/>
        <v>3</v>
      </c>
      <c r="Q19" s="8" t="str">
        <f t="shared" si="3"/>
        <v/>
      </c>
      <c r="R19" s="11">
        <f t="shared" si="5"/>
        <v>0</v>
      </c>
      <c r="S19" s="11" t="str">
        <f t="shared" si="4"/>
        <v/>
      </c>
      <c r="T19" s="1"/>
    </row>
    <row r="20" spans="1:20" ht="15" customHeight="1">
      <c r="A20" s="3">
        <v>10</v>
      </c>
      <c r="B20" s="10" t="str">
        <f>IF(Roster!B14="","",Roster!B14)</f>
        <v/>
      </c>
      <c r="C20" s="19" t="str">
        <f>IF(Roster!C14="","",Roster!C14)</f>
        <v>Arjun V</v>
      </c>
      <c r="D20" s="7">
        <v>4</v>
      </c>
      <c r="E20" s="7">
        <v>9</v>
      </c>
      <c r="F20" s="7">
        <v>0</v>
      </c>
      <c r="G20" s="7">
        <v>10</v>
      </c>
      <c r="H20" s="7">
        <v>3</v>
      </c>
      <c r="I20" s="7">
        <v>3</v>
      </c>
      <c r="J20" s="7">
        <v>4</v>
      </c>
      <c r="K20" s="7">
        <v>0</v>
      </c>
      <c r="L20" s="7">
        <v>1</v>
      </c>
      <c r="M20" s="7">
        <v>1</v>
      </c>
      <c r="N20" s="7">
        <v>1</v>
      </c>
      <c r="O20" s="8">
        <f>IF(SUM(D20,F20)=0,"",D20+F20)</f>
        <v>4</v>
      </c>
      <c r="P20" s="8">
        <f>IF(SUM(E20,G20)=0,"",E20+G20)</f>
        <v>19</v>
      </c>
      <c r="Q20" s="8">
        <f>IF(SUM(D20,F20,H20)=0,"",D20*2+F20*3+H20)</f>
        <v>11</v>
      </c>
      <c r="R20" s="11">
        <f t="shared" si="5"/>
        <v>0.21052631578947367</v>
      </c>
      <c r="S20" s="11">
        <f>IF(I20=0,"",H20/I20)</f>
        <v>1</v>
      </c>
      <c r="T20" s="1"/>
    </row>
    <row r="21" spans="1:20" ht="15" customHeight="1">
      <c r="A21" s="3">
        <v>11</v>
      </c>
      <c r="B21" s="10" t="str">
        <f>IF(Roster!B15="","",Roster!B15)</f>
        <v/>
      </c>
      <c r="C21" s="19" t="str">
        <f>IF(Roster!C15="","",Roster!C15)</f>
        <v>Yash S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 t="str">
        <f t="shared" si="1"/>
        <v/>
      </c>
      <c r="P21" s="8" t="str">
        <f t="shared" si="2"/>
        <v/>
      </c>
      <c r="Q21" s="8" t="str">
        <f t="shared" si="3"/>
        <v/>
      </c>
      <c r="R21" s="11" t="str">
        <f t="shared" si="5"/>
        <v/>
      </c>
      <c r="S21" s="11" t="str">
        <f t="shared" si="4"/>
        <v/>
      </c>
      <c r="T21" s="1"/>
    </row>
    <row r="22" spans="1:20" ht="15" customHeight="1">
      <c r="A22" s="3">
        <v>12</v>
      </c>
      <c r="B22" s="10" t="str">
        <f>IF(Roster!B16="","",Roster!B16)</f>
        <v/>
      </c>
      <c r="C22" s="19" t="str">
        <f>IF(Roster!C16="","",Roster!C16)</f>
        <v>Will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 t="str">
        <f t="shared" si="1"/>
        <v/>
      </c>
      <c r="P22" s="8" t="str">
        <f t="shared" si="2"/>
        <v/>
      </c>
      <c r="Q22" s="8" t="str">
        <f t="shared" si="3"/>
        <v/>
      </c>
      <c r="R22" s="11" t="str">
        <f t="shared" si="5"/>
        <v/>
      </c>
      <c r="S22" s="11" t="str">
        <f t="shared" si="4"/>
        <v/>
      </c>
      <c r="T22" s="1"/>
    </row>
    <row r="23" spans="1:20" ht="15" customHeight="1">
      <c r="A23" s="3">
        <v>13</v>
      </c>
      <c r="B23" s="10" t="str">
        <f>IF(Roster!B17="","",Roster!B17)</f>
        <v/>
      </c>
      <c r="C23" s="19" t="str">
        <f>IF(Roster!C17="","",Roster!C17)</f>
        <v>Steven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 t="str">
        <f>IF(SUM(D23,F23)=0,"",D23+F23)</f>
        <v/>
      </c>
      <c r="P23" s="8" t="str">
        <f>IF(SUM(E23,G23)=0,"",E23+G23)</f>
        <v/>
      </c>
      <c r="Q23" s="8" t="str">
        <f>IF(SUM(D23,F23,H23)=0,"",D23*2+F23*3+H23)</f>
        <v/>
      </c>
      <c r="R23" s="11" t="str">
        <f t="shared" si="5"/>
        <v/>
      </c>
      <c r="S23" s="11" t="str">
        <f>IF(I23=0,"",H23/I23)</f>
        <v/>
      </c>
      <c r="T23" s="1"/>
    </row>
    <row r="24" spans="1:20" ht="15" customHeight="1">
      <c r="A24" s="3">
        <v>14</v>
      </c>
      <c r="B24" s="10" t="str">
        <f>IF(Roster!B18="","",Roster!B18)</f>
        <v/>
      </c>
      <c r="C24" s="19" t="str">
        <f>IF(Roster!C18="","",Roster!C18)</f>
        <v>Vee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 t="str">
        <f t="shared" si="1"/>
        <v/>
      </c>
      <c r="P24" s="8" t="str">
        <f t="shared" si="2"/>
        <v/>
      </c>
      <c r="Q24" s="8" t="str">
        <f t="shared" si="3"/>
        <v/>
      </c>
      <c r="R24" s="11" t="str">
        <f t="shared" si="5"/>
        <v/>
      </c>
      <c r="S24" s="11" t="str">
        <f t="shared" si="4"/>
        <v/>
      </c>
      <c r="T24" s="1"/>
    </row>
    <row r="25" spans="1:20" ht="15" customHeight="1">
      <c r="A25" s="3">
        <v>15</v>
      </c>
      <c r="B25" s="10" t="str">
        <f>IF(Roster!B19="","",Roster!B19)</f>
        <v/>
      </c>
      <c r="C25" s="19" t="str">
        <f>IF(Roster!C19="","",Roster!C19)</f>
        <v>Michael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 t="str">
        <f t="shared" si="1"/>
        <v/>
      </c>
      <c r="P25" s="8" t="str">
        <f t="shared" si="2"/>
        <v/>
      </c>
      <c r="Q25" s="8" t="str">
        <f t="shared" si="3"/>
        <v/>
      </c>
      <c r="R25" s="11" t="str">
        <f t="shared" si="5"/>
        <v/>
      </c>
      <c r="S25" s="11" t="str">
        <f t="shared" si="4"/>
        <v/>
      </c>
      <c r="T25" s="1"/>
    </row>
    <row r="26" spans="1:20" ht="15" customHeight="1">
      <c r="A26" s="3">
        <v>16</v>
      </c>
      <c r="B26" s="10" t="str">
        <f>IF(Roster!B20="","",Roster!B20)</f>
        <v/>
      </c>
      <c r="C26" s="19" t="str">
        <f>IF(Roster!C20="","",Roster!C20)</f>
        <v>Eddie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 t="str">
        <f t="shared" si="1"/>
        <v/>
      </c>
      <c r="P26" s="8" t="str">
        <f t="shared" si="2"/>
        <v/>
      </c>
      <c r="Q26" s="8" t="str">
        <f t="shared" si="3"/>
        <v/>
      </c>
      <c r="R26" s="11" t="str">
        <f t="shared" si="5"/>
        <v/>
      </c>
      <c r="S26" s="11" t="str">
        <f t="shared" si="4"/>
        <v/>
      </c>
      <c r="T26" s="1"/>
    </row>
    <row r="27" spans="1:20" ht="15" customHeight="1">
      <c r="A27" s="3">
        <v>17</v>
      </c>
      <c r="B27" s="10" t="str">
        <f>IF(Roster!B21="","",Roster!B21)</f>
        <v/>
      </c>
      <c r="C27" s="19" t="str">
        <f>IF(Roster!C21="","",Roster!C21)</f>
        <v>Stephen Zhong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 t="str">
        <f t="shared" si="1"/>
        <v/>
      </c>
      <c r="P27" s="8" t="str">
        <f t="shared" si="2"/>
        <v/>
      </c>
      <c r="Q27" s="8" t="str">
        <f t="shared" si="3"/>
        <v/>
      </c>
      <c r="R27" s="11" t="str">
        <f t="shared" si="5"/>
        <v/>
      </c>
      <c r="S27" s="11" t="str">
        <f t="shared" si="4"/>
        <v/>
      </c>
      <c r="T27" s="1"/>
    </row>
    <row r="28" spans="1:20" ht="15" customHeight="1">
      <c r="A28" s="3">
        <v>18</v>
      </c>
      <c r="B28" s="10" t="str">
        <f>IF(Roster!B22="","",Roster!B22)</f>
        <v/>
      </c>
      <c r="C28" s="19" t="str">
        <f>IF(Roster!C22="","",Roster!C22)</f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 t="str">
        <f t="shared" si="1"/>
        <v/>
      </c>
      <c r="P28" s="8" t="str">
        <f t="shared" si="2"/>
        <v/>
      </c>
      <c r="Q28" s="8" t="str">
        <f t="shared" si="3"/>
        <v/>
      </c>
      <c r="R28" s="11" t="str">
        <f t="shared" si="5"/>
        <v/>
      </c>
      <c r="S28" s="11" t="str">
        <f t="shared" si="4"/>
        <v/>
      </c>
      <c r="T28" s="1"/>
    </row>
    <row r="29" spans="1:20" ht="15" customHeight="1">
      <c r="A29" s="3">
        <v>19</v>
      </c>
      <c r="B29" s="10" t="str">
        <f>IF(Roster!B23="","",Roster!B23)</f>
        <v/>
      </c>
      <c r="C29" s="19" t="str">
        <f>IF(Roster!C23="","",Roster!C23)</f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 t="str">
        <f t="shared" si="1"/>
        <v/>
      </c>
      <c r="P29" s="8" t="str">
        <f t="shared" si="2"/>
        <v/>
      </c>
      <c r="Q29" s="8" t="str">
        <f t="shared" si="3"/>
        <v/>
      </c>
      <c r="R29" s="11" t="str">
        <f t="shared" si="5"/>
        <v/>
      </c>
      <c r="S29" s="11" t="str">
        <f t="shared" si="4"/>
        <v/>
      </c>
      <c r="T29" s="1"/>
    </row>
    <row r="30" spans="1:20" ht="15" customHeight="1">
      <c r="A30" s="3">
        <v>20</v>
      </c>
      <c r="B30" s="10" t="str">
        <f>IF(Roster!B24="","",Roster!B24)</f>
        <v/>
      </c>
      <c r="C30" s="19" t="str">
        <f>IF(Roster!C24="","",Roster!C24)</f>
        <v/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 t="str">
        <f t="shared" si="1"/>
        <v/>
      </c>
      <c r="P30" s="8" t="str">
        <f t="shared" si="2"/>
        <v/>
      </c>
      <c r="Q30" s="8" t="str">
        <f t="shared" si="3"/>
        <v/>
      </c>
      <c r="R30" s="11" t="str">
        <f t="shared" si="5"/>
        <v/>
      </c>
      <c r="S30" s="11" t="str">
        <f t="shared" si="4"/>
        <v/>
      </c>
      <c r="T30" s="1"/>
    </row>
  </sheetData>
  <mergeCells count="4">
    <mergeCell ref="A1:T1"/>
    <mergeCell ref="A4:F4"/>
    <mergeCell ref="H4:T4"/>
    <mergeCell ref="A9:T9"/>
  </mergeCells>
  <conditionalFormatting sqref="C11:C30">
    <cfRule type="expression" dxfId="3" priority="1">
      <formula>COUNTA(D11:N11)&gt;0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298F-963B-4E5C-8CC8-E7FC75DAC03E}">
  <dimension ref="A1:U32"/>
  <sheetViews>
    <sheetView showGridLines="0" workbookViewId="0">
      <selection activeCell="S11" sqref="S11"/>
    </sheetView>
  </sheetViews>
  <sheetFormatPr defaultRowHeight="14"/>
  <cols>
    <col min="1" max="1" width="8" customWidth="1"/>
    <col min="2" max="2" width="10" customWidth="1"/>
    <col min="3" max="3" width="20" customWidth="1"/>
    <col min="4" max="17" width="8" customWidth="1"/>
    <col min="18" max="19" width="9" customWidth="1"/>
    <col min="20" max="20" width="8" customWidth="1"/>
  </cols>
  <sheetData>
    <row r="1" spans="1:21" ht="15" customHeight="1">
      <c r="A1" s="31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ht="15" customHeight="1">
      <c r="A2" s="5" t="s">
        <v>14</v>
      </c>
      <c r="B2" s="15">
        <v>46230</v>
      </c>
      <c r="C2" s="6"/>
      <c r="D2" s="6" t="s">
        <v>15</v>
      </c>
      <c r="E2" s="14" t="s">
        <v>104</v>
      </c>
      <c r="F2" s="6"/>
      <c r="G2" s="6" t="s">
        <v>16</v>
      </c>
      <c r="H2" s="14" t="s">
        <v>94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15" customHeight="1">
      <c r="A4" s="36" t="s">
        <v>17</v>
      </c>
      <c r="B4" s="36" t="s">
        <v>17</v>
      </c>
      <c r="C4" s="36" t="s">
        <v>17</v>
      </c>
      <c r="D4" s="36" t="s">
        <v>17</v>
      </c>
      <c r="E4" s="36" t="s">
        <v>17</v>
      </c>
      <c r="F4" s="36" t="s">
        <v>17</v>
      </c>
      <c r="G4" s="1"/>
      <c r="H4" s="38" t="s">
        <v>18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1" ht="24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1"/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97</v>
      </c>
      <c r="U5" s="2" t="s">
        <v>114</v>
      </c>
    </row>
    <row r="6" spans="1:21" ht="15" customHeight="1">
      <c r="A6" s="6" t="s">
        <v>37</v>
      </c>
      <c r="B6" s="7">
        <v>12</v>
      </c>
      <c r="C6" s="7">
        <v>33</v>
      </c>
      <c r="D6" s="8">
        <f>IF(B6="","",B6)</f>
        <v>12</v>
      </c>
      <c r="E6" s="8">
        <f>IF(OR(B6="",C6=""),"",C6-B6)</f>
        <v>21</v>
      </c>
      <c r="F6" s="8">
        <f>IF(C6="","",C6)</f>
        <v>33</v>
      </c>
      <c r="G6" s="1"/>
      <c r="H6" s="9">
        <f>SUM(D10:D30)</f>
        <v>6</v>
      </c>
      <c r="I6" s="9">
        <f>SUM(E10:E30)</f>
        <v>30</v>
      </c>
      <c r="J6" s="9">
        <f>SUM(F10:F30)</f>
        <v>5</v>
      </c>
      <c r="K6" s="9">
        <f>SUM(G10:G30)</f>
        <v>25</v>
      </c>
      <c r="L6" s="9">
        <f>SUM(D10:D30)+SUM(F10:F30)</f>
        <v>11</v>
      </c>
      <c r="M6" s="9">
        <f>SUM(E10:E30)+SUM(G10:G30)</f>
        <v>55</v>
      </c>
      <c r="N6" s="9">
        <f t="shared" ref="N6:U6" si="0">SUM(H10:H30)</f>
        <v>6</v>
      </c>
      <c r="O6" s="9">
        <f>SUM(I11:I30)</f>
        <v>18</v>
      </c>
      <c r="P6" s="9">
        <f>SUM(J11:J30)</f>
        <v>19</v>
      </c>
      <c r="Q6" s="9">
        <f>SUM(K11:K30)</f>
        <v>13</v>
      </c>
      <c r="R6" s="9">
        <f>SUM(L11:L30)</f>
        <v>7</v>
      </c>
      <c r="S6" s="9">
        <f>SUM(M11:M30)</f>
        <v>10</v>
      </c>
      <c r="T6" s="9">
        <f>SUM(N11:N30)</f>
        <v>11</v>
      </c>
      <c r="U6" s="9">
        <f>SUM(O11:O30)</f>
        <v>2</v>
      </c>
    </row>
    <row r="7" spans="1:21" ht="15" customHeight="1">
      <c r="A7" s="6" t="s">
        <v>15</v>
      </c>
      <c r="B7" s="7">
        <v>17</v>
      </c>
      <c r="C7" s="7">
        <v>38</v>
      </c>
      <c r="D7" s="8">
        <f>IF(B7="","",B7)</f>
        <v>17</v>
      </c>
      <c r="E7" s="8">
        <f>IF(OR(B7="",C7=""),"",C7-B7)</f>
        <v>21</v>
      </c>
      <c r="F7" s="8">
        <f>IF(C7="","",C7)</f>
        <v>38</v>
      </c>
      <c r="G7" s="1"/>
      <c r="H7" s="16" t="s">
        <v>106</v>
      </c>
      <c r="I7" s="26">
        <f>H6/I6</f>
        <v>0.2</v>
      </c>
      <c r="J7" s="16" t="s">
        <v>107</v>
      </c>
      <c r="K7" s="26">
        <f>J6/K6</f>
        <v>0.2</v>
      </c>
      <c r="L7" s="16" t="s">
        <v>41</v>
      </c>
      <c r="M7" s="26">
        <f>L6/M6</f>
        <v>0.2</v>
      </c>
      <c r="N7" s="16" t="s">
        <v>42</v>
      </c>
      <c r="O7" s="26">
        <f>N6/O6</f>
        <v>0.33333333333333331</v>
      </c>
      <c r="P7" s="1"/>
      <c r="Q7" s="1"/>
      <c r="R7" s="1"/>
      <c r="S7" s="1"/>
      <c r="T7" s="1"/>
    </row>
    <row r="8" spans="1:21" ht="15" customHeight="1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 ht="15" customHeight="1">
      <c r="A9" s="34" t="s">
        <v>38</v>
      </c>
      <c r="B9" s="34" t="s">
        <v>38</v>
      </c>
      <c r="C9" s="34" t="s">
        <v>38</v>
      </c>
      <c r="D9" s="34" t="s">
        <v>38</v>
      </c>
      <c r="E9" s="34" t="s">
        <v>38</v>
      </c>
      <c r="F9" s="34" t="s">
        <v>38</v>
      </c>
      <c r="G9" s="34" t="s">
        <v>38</v>
      </c>
      <c r="H9" s="34" t="s">
        <v>38</v>
      </c>
      <c r="I9" s="34" t="s">
        <v>38</v>
      </c>
      <c r="J9" s="34" t="s">
        <v>38</v>
      </c>
      <c r="K9" s="34" t="s">
        <v>38</v>
      </c>
      <c r="L9" s="34" t="s">
        <v>38</v>
      </c>
      <c r="M9" s="34" t="s">
        <v>38</v>
      </c>
      <c r="N9" s="34"/>
      <c r="O9" s="34" t="s">
        <v>38</v>
      </c>
      <c r="P9" s="34" t="s">
        <v>38</v>
      </c>
      <c r="Q9" s="34" t="s">
        <v>38</v>
      </c>
      <c r="R9" s="34" t="s">
        <v>38</v>
      </c>
      <c r="S9" s="34" t="s">
        <v>38</v>
      </c>
      <c r="T9" s="34" t="s">
        <v>38</v>
      </c>
    </row>
    <row r="10" spans="1:21" ht="15" customHeight="1">
      <c r="A10" s="2" t="s">
        <v>3</v>
      </c>
      <c r="B10" s="2" t="s">
        <v>4</v>
      </c>
      <c r="C10" s="2" t="s">
        <v>39</v>
      </c>
      <c r="D10" s="2" t="s">
        <v>25</v>
      </c>
      <c r="E10" s="2" t="s">
        <v>26</v>
      </c>
      <c r="F10" s="2" t="s">
        <v>27</v>
      </c>
      <c r="G10" s="2" t="s">
        <v>28</v>
      </c>
      <c r="H10" s="16" t="s">
        <v>31</v>
      </c>
      <c r="I10" s="16" t="s">
        <v>32</v>
      </c>
      <c r="J10" s="2" t="s">
        <v>33</v>
      </c>
      <c r="K10" s="2" t="s">
        <v>34</v>
      </c>
      <c r="L10" s="2" t="s">
        <v>35</v>
      </c>
      <c r="M10" s="16" t="s">
        <v>96</v>
      </c>
      <c r="N10" s="16" t="s">
        <v>97</v>
      </c>
      <c r="O10" s="21" t="s">
        <v>114</v>
      </c>
      <c r="P10" s="2" t="s">
        <v>29</v>
      </c>
      <c r="Q10" s="2" t="s">
        <v>30</v>
      </c>
      <c r="R10" s="2" t="s">
        <v>40</v>
      </c>
      <c r="S10" s="2" t="s">
        <v>41</v>
      </c>
      <c r="T10" s="2" t="s">
        <v>42</v>
      </c>
    </row>
    <row r="11" spans="1:21" ht="15" customHeight="1">
      <c r="A11" s="3">
        <v>1</v>
      </c>
      <c r="B11" s="10" t="str">
        <f>IF(Roster!B5="","",Roster!B5)</f>
        <v/>
      </c>
      <c r="C11" s="19" t="str">
        <f>IF(Roster!C5="","",Roster!C5)</f>
        <v>Brendan Wong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 t="str">
        <f t="shared" ref="P11:Q30" si="1">IF(SUM(D11,F11)=0,"",D11+F11)</f>
        <v/>
      </c>
      <c r="Q11" s="8" t="str">
        <f t="shared" si="1"/>
        <v/>
      </c>
      <c r="R11" s="8" t="str">
        <f t="shared" ref="R11:R30" si="2">IF(SUM(D11,F11,H11)=0,"",D11*2+F11*3+H11)</f>
        <v/>
      </c>
      <c r="S11" s="11" t="str">
        <f>IF(Q11="","",IF(P11="",0,P11/Q11))</f>
        <v/>
      </c>
      <c r="T11" s="11" t="str">
        <f t="shared" ref="T11:T30" si="3">IF(I11=0,"",H11/I11)</f>
        <v/>
      </c>
    </row>
    <row r="12" spans="1:21" ht="15" customHeight="1">
      <c r="A12" s="3">
        <v>2</v>
      </c>
      <c r="B12" s="10" t="str">
        <f>IF(Roster!B6="","",Roster!B6)</f>
        <v/>
      </c>
      <c r="C12" s="19" t="str">
        <f>IF(Roster!C6="","",Roster!C6)</f>
        <v>Kevin Chen</v>
      </c>
      <c r="D12" s="7">
        <v>2</v>
      </c>
      <c r="E12" s="7">
        <v>9</v>
      </c>
      <c r="F12" s="7">
        <v>0</v>
      </c>
      <c r="G12" s="7">
        <v>3</v>
      </c>
      <c r="H12" s="7">
        <v>3</v>
      </c>
      <c r="I12" s="7">
        <v>13</v>
      </c>
      <c r="J12" s="7">
        <v>4</v>
      </c>
      <c r="K12" s="7">
        <v>1</v>
      </c>
      <c r="L12" s="7">
        <v>2</v>
      </c>
      <c r="M12" s="7">
        <v>3</v>
      </c>
      <c r="N12" s="7">
        <v>2</v>
      </c>
      <c r="O12" s="7">
        <v>0</v>
      </c>
      <c r="P12" s="8">
        <f t="shared" si="1"/>
        <v>2</v>
      </c>
      <c r="Q12" s="8">
        <f t="shared" si="1"/>
        <v>12</v>
      </c>
      <c r="R12" s="8">
        <f t="shared" si="2"/>
        <v>7</v>
      </c>
      <c r="S12" s="11">
        <f t="shared" ref="S12:S30" si="4">IF(Q12="","",IF(P12="",0,P12/Q12))</f>
        <v>0.16666666666666666</v>
      </c>
      <c r="T12" s="11">
        <f t="shared" si="3"/>
        <v>0.23076923076923078</v>
      </c>
    </row>
    <row r="13" spans="1:21" ht="15" customHeight="1">
      <c r="A13" s="3">
        <v>3</v>
      </c>
      <c r="B13" s="10" t="str">
        <f>IF(Roster!B7="","",Roster!B7)</f>
        <v/>
      </c>
      <c r="C13" s="19" t="str">
        <f>IF(Roster!C7="","",Roster!C7)</f>
        <v>Siddarth D</v>
      </c>
      <c r="D13" s="7">
        <v>2</v>
      </c>
      <c r="E13" s="7">
        <v>4</v>
      </c>
      <c r="F13" s="7">
        <v>0</v>
      </c>
      <c r="G13" s="7">
        <v>1</v>
      </c>
      <c r="H13" s="7">
        <v>0</v>
      </c>
      <c r="I13" s="7">
        <v>0</v>
      </c>
      <c r="J13" s="7">
        <v>6</v>
      </c>
      <c r="K13" s="7">
        <v>3</v>
      </c>
      <c r="L13" s="7">
        <v>0</v>
      </c>
      <c r="M13" s="7">
        <v>2</v>
      </c>
      <c r="N13" s="7">
        <v>3</v>
      </c>
      <c r="O13" s="7">
        <v>2</v>
      </c>
      <c r="P13" s="8">
        <f t="shared" si="1"/>
        <v>2</v>
      </c>
      <c r="Q13" s="8">
        <f t="shared" si="1"/>
        <v>5</v>
      </c>
      <c r="R13" s="8">
        <f t="shared" si="2"/>
        <v>4</v>
      </c>
      <c r="S13" s="11">
        <f t="shared" si="4"/>
        <v>0.4</v>
      </c>
      <c r="T13" s="11" t="str">
        <f t="shared" si="3"/>
        <v/>
      </c>
    </row>
    <row r="14" spans="1:21" ht="15" customHeight="1">
      <c r="A14" s="3">
        <v>4</v>
      </c>
      <c r="B14" s="10" t="str">
        <f>IF(Roster!B8="","",Roster!B8)</f>
        <v/>
      </c>
      <c r="C14" s="19" t="str">
        <f>IF(Roster!C8="","",Roster!C8)</f>
        <v>Ethan Hu</v>
      </c>
      <c r="D14" s="7">
        <v>0</v>
      </c>
      <c r="E14" s="7">
        <v>3</v>
      </c>
      <c r="F14" s="7">
        <v>1</v>
      </c>
      <c r="G14" s="7">
        <v>6</v>
      </c>
      <c r="H14" s="7">
        <v>1</v>
      </c>
      <c r="I14" s="7">
        <v>2</v>
      </c>
      <c r="J14" s="7">
        <v>3</v>
      </c>
      <c r="K14" s="7">
        <v>3</v>
      </c>
      <c r="L14" s="7">
        <v>1</v>
      </c>
      <c r="M14" s="7">
        <v>0</v>
      </c>
      <c r="N14" s="7">
        <v>0</v>
      </c>
      <c r="O14" s="7">
        <v>0</v>
      </c>
      <c r="P14" s="8">
        <f t="shared" si="1"/>
        <v>1</v>
      </c>
      <c r="Q14" s="8">
        <f t="shared" si="1"/>
        <v>9</v>
      </c>
      <c r="R14" s="8">
        <f t="shared" si="2"/>
        <v>4</v>
      </c>
      <c r="S14" s="11">
        <f t="shared" si="4"/>
        <v>0.1111111111111111</v>
      </c>
      <c r="T14" s="11">
        <f t="shared" si="3"/>
        <v>0.5</v>
      </c>
    </row>
    <row r="15" spans="1:21" ht="15" customHeight="1">
      <c r="A15" s="3">
        <v>5</v>
      </c>
      <c r="B15" s="10" t="str">
        <f>IF(Roster!B9="","",Roster!B9)</f>
        <v/>
      </c>
      <c r="C15" s="19" t="str">
        <f>IF(Roster!C9="","",Roster!C9)</f>
        <v>Kenny Liou</v>
      </c>
      <c r="D15" s="7">
        <v>1</v>
      </c>
      <c r="E15" s="7">
        <v>2</v>
      </c>
      <c r="F15" s="7">
        <v>0</v>
      </c>
      <c r="G15" s="7">
        <v>0</v>
      </c>
      <c r="H15" s="7">
        <v>2</v>
      </c>
      <c r="I15" s="7">
        <v>3</v>
      </c>
      <c r="J15" s="7">
        <v>3</v>
      </c>
      <c r="K15" s="7">
        <v>5</v>
      </c>
      <c r="L15" s="7">
        <v>2</v>
      </c>
      <c r="M15" s="7">
        <v>1</v>
      </c>
      <c r="N15" s="7">
        <v>2</v>
      </c>
      <c r="O15" s="7">
        <v>0</v>
      </c>
      <c r="P15" s="8">
        <f t="shared" si="1"/>
        <v>1</v>
      </c>
      <c r="Q15" s="8">
        <f t="shared" si="1"/>
        <v>2</v>
      </c>
      <c r="R15" s="8">
        <f t="shared" si="2"/>
        <v>4</v>
      </c>
      <c r="S15" s="11">
        <f t="shared" si="4"/>
        <v>0.5</v>
      </c>
      <c r="T15" s="11">
        <f t="shared" si="3"/>
        <v>0.66666666666666663</v>
      </c>
    </row>
    <row r="16" spans="1:21" ht="15" customHeight="1">
      <c r="A16" s="3">
        <v>6</v>
      </c>
      <c r="B16" s="10" t="str">
        <f>IF(Roster!B10="","",Roster!B10)</f>
        <v/>
      </c>
      <c r="C16" s="19" t="str">
        <f>IF(Roster!C10="","",Roster!C10)</f>
        <v>Max Lee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 t="str">
        <f t="shared" si="1"/>
        <v/>
      </c>
      <c r="Q16" s="8" t="str">
        <f t="shared" si="1"/>
        <v/>
      </c>
      <c r="R16" s="8" t="str">
        <f t="shared" si="2"/>
        <v/>
      </c>
      <c r="S16" s="11" t="str">
        <f t="shared" si="4"/>
        <v/>
      </c>
      <c r="T16" s="11" t="str">
        <f t="shared" si="3"/>
        <v/>
      </c>
    </row>
    <row r="17" spans="1:20" ht="15" customHeight="1">
      <c r="A17" s="3">
        <v>7</v>
      </c>
      <c r="B17" s="10" t="str">
        <f>IF(Roster!B11="","",Roster!B11)</f>
        <v/>
      </c>
      <c r="C17" s="19" t="str">
        <f>IF(Roster!C11="","",Roster!C11)</f>
        <v>Xuanyi W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 t="str">
        <f t="shared" si="1"/>
        <v/>
      </c>
      <c r="Q17" s="8" t="str">
        <f t="shared" si="1"/>
        <v/>
      </c>
      <c r="R17" s="8" t="str">
        <f t="shared" si="2"/>
        <v/>
      </c>
      <c r="S17" s="11" t="str">
        <f t="shared" si="4"/>
        <v/>
      </c>
      <c r="T17" s="11" t="str">
        <f t="shared" si="3"/>
        <v/>
      </c>
    </row>
    <row r="18" spans="1:20" ht="15" customHeight="1">
      <c r="A18" s="3">
        <v>8</v>
      </c>
      <c r="B18" s="10" t="str">
        <f>IF(Roster!B12="","",Roster!B12)</f>
        <v/>
      </c>
      <c r="C18" s="19" t="str">
        <f>IF(Roster!C12="","",Roster!C12)</f>
        <v>Markus Wong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8" t="str">
        <f t="shared" si="1"/>
        <v/>
      </c>
      <c r="Q18" s="8" t="str">
        <f t="shared" si="1"/>
        <v/>
      </c>
      <c r="R18" s="8" t="str">
        <f t="shared" si="2"/>
        <v/>
      </c>
      <c r="S18" s="11" t="str">
        <f t="shared" si="4"/>
        <v/>
      </c>
      <c r="T18" s="11" t="str">
        <f t="shared" si="3"/>
        <v/>
      </c>
    </row>
    <row r="19" spans="1:20" ht="15" customHeight="1">
      <c r="A19" s="3">
        <v>9</v>
      </c>
      <c r="B19" s="10" t="str">
        <f>IF(Roster!B13="","",Roster!B13)</f>
        <v/>
      </c>
      <c r="C19" s="19" t="str">
        <f>IF(Roster!C13="","",Roster!C13)</f>
        <v>Thomas N</v>
      </c>
      <c r="D19" s="7">
        <v>0</v>
      </c>
      <c r="E19" s="7">
        <v>2</v>
      </c>
      <c r="F19" s="7">
        <v>1</v>
      </c>
      <c r="G19" s="7">
        <v>1</v>
      </c>
      <c r="H19" s="7">
        <v>0</v>
      </c>
      <c r="I19" s="7">
        <v>0</v>
      </c>
      <c r="J19" s="7">
        <v>0</v>
      </c>
      <c r="K19" s="7">
        <v>1</v>
      </c>
      <c r="L19" s="7">
        <v>1</v>
      </c>
      <c r="M19" s="7">
        <v>0</v>
      </c>
      <c r="N19" s="7">
        <v>0</v>
      </c>
      <c r="O19" s="7">
        <v>0</v>
      </c>
      <c r="P19" s="8">
        <f t="shared" si="1"/>
        <v>1</v>
      </c>
      <c r="Q19" s="8">
        <f t="shared" si="1"/>
        <v>3</v>
      </c>
      <c r="R19" s="8">
        <f t="shared" si="2"/>
        <v>3</v>
      </c>
      <c r="S19" s="11">
        <f t="shared" si="4"/>
        <v>0.33333333333333331</v>
      </c>
      <c r="T19" s="11" t="str">
        <f t="shared" si="3"/>
        <v/>
      </c>
    </row>
    <row r="20" spans="1:20" ht="15" customHeight="1">
      <c r="A20" s="3">
        <v>10</v>
      </c>
      <c r="B20" s="10" t="str">
        <f>IF(Roster!B14="","",Roster!B14)</f>
        <v/>
      </c>
      <c r="C20" s="19" t="str">
        <f>IF(Roster!C14="","",Roster!C14)</f>
        <v>Arjun V</v>
      </c>
      <c r="D20" s="7">
        <v>1</v>
      </c>
      <c r="E20" s="7">
        <v>9</v>
      </c>
      <c r="F20" s="7">
        <v>3</v>
      </c>
      <c r="G20" s="7">
        <v>12</v>
      </c>
      <c r="H20" s="7">
        <v>0</v>
      </c>
      <c r="I20" s="7">
        <v>0</v>
      </c>
      <c r="J20" s="7">
        <v>1</v>
      </c>
      <c r="K20" s="7">
        <v>0</v>
      </c>
      <c r="L20" s="7">
        <v>1</v>
      </c>
      <c r="M20" s="7">
        <v>4</v>
      </c>
      <c r="N20" s="7">
        <v>3</v>
      </c>
      <c r="O20" s="7">
        <v>0</v>
      </c>
      <c r="P20" s="8">
        <f t="shared" si="1"/>
        <v>4</v>
      </c>
      <c r="Q20" s="8">
        <f t="shared" si="1"/>
        <v>21</v>
      </c>
      <c r="R20" s="8">
        <f t="shared" si="2"/>
        <v>11</v>
      </c>
      <c r="S20" s="11">
        <f t="shared" si="4"/>
        <v>0.19047619047619047</v>
      </c>
      <c r="T20" s="11" t="str">
        <f t="shared" si="3"/>
        <v/>
      </c>
    </row>
    <row r="21" spans="1:20" ht="15" customHeight="1">
      <c r="A21" s="3">
        <v>11</v>
      </c>
      <c r="B21" s="10" t="str">
        <f>IF(Roster!B15="","",Roster!B15)</f>
        <v/>
      </c>
      <c r="C21" s="19" t="str">
        <f>IF(Roster!C15="","",Roster!C15)</f>
        <v>Yash S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 t="str">
        <f t="shared" si="1"/>
        <v/>
      </c>
      <c r="Q21" s="8" t="str">
        <f t="shared" si="1"/>
        <v/>
      </c>
      <c r="R21" s="8" t="str">
        <f t="shared" si="2"/>
        <v/>
      </c>
      <c r="S21" s="11" t="str">
        <f t="shared" si="4"/>
        <v/>
      </c>
      <c r="T21" s="11" t="str">
        <f t="shared" si="3"/>
        <v/>
      </c>
    </row>
    <row r="22" spans="1:20" ht="15" customHeight="1">
      <c r="A22" s="3">
        <v>12</v>
      </c>
      <c r="B22" s="10" t="str">
        <f>IF(Roster!B16="","",Roster!B16)</f>
        <v/>
      </c>
      <c r="C22" s="19" t="str">
        <f>IF(Roster!C16="","",Roster!C16)</f>
        <v>Will</v>
      </c>
      <c r="D22" s="7">
        <v>0</v>
      </c>
      <c r="E22" s="7">
        <v>1</v>
      </c>
      <c r="F22" s="7">
        <v>0</v>
      </c>
      <c r="G22" s="7">
        <v>1</v>
      </c>
      <c r="H22" s="7">
        <v>0</v>
      </c>
      <c r="I22" s="7">
        <v>0</v>
      </c>
      <c r="J22" s="7">
        <v>2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8" t="str">
        <f t="shared" si="1"/>
        <v/>
      </c>
      <c r="Q22" s="8">
        <f t="shared" si="1"/>
        <v>2</v>
      </c>
      <c r="R22" s="8" t="str">
        <f t="shared" si="2"/>
        <v/>
      </c>
      <c r="S22" s="11">
        <f t="shared" si="4"/>
        <v>0</v>
      </c>
      <c r="T22" s="11" t="str">
        <f t="shared" si="3"/>
        <v/>
      </c>
    </row>
    <row r="23" spans="1:20" ht="15" customHeight="1">
      <c r="A23" s="3">
        <v>13</v>
      </c>
      <c r="B23" s="10" t="str">
        <f>IF(Roster!B17="","",Roster!B17)</f>
        <v/>
      </c>
      <c r="C23" s="19" t="str">
        <f>IF(Roster!C17="","",Roster!C17)</f>
        <v>Steven</v>
      </c>
      <c r="D23" s="7">
        <v>0</v>
      </c>
      <c r="E23" s="7">
        <v>0</v>
      </c>
      <c r="F23" s="7">
        <v>0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8" t="str">
        <f t="shared" si="1"/>
        <v/>
      </c>
      <c r="Q23" s="8">
        <f t="shared" si="1"/>
        <v>1</v>
      </c>
      <c r="R23" s="8" t="str">
        <f t="shared" si="2"/>
        <v/>
      </c>
      <c r="S23" s="11">
        <f t="shared" si="4"/>
        <v>0</v>
      </c>
      <c r="T23" s="11" t="str">
        <f t="shared" si="3"/>
        <v/>
      </c>
    </row>
    <row r="24" spans="1:20" ht="15" customHeight="1">
      <c r="A24" s="3">
        <v>14</v>
      </c>
      <c r="B24" s="10" t="str">
        <f>IF(Roster!B18="","",Roster!B18)</f>
        <v/>
      </c>
      <c r="C24" s="19" t="str">
        <f>IF(Roster!C18="","",Roster!C18)</f>
        <v>Vee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 t="str">
        <f t="shared" si="1"/>
        <v/>
      </c>
      <c r="Q24" s="8" t="str">
        <f t="shared" si="1"/>
        <v/>
      </c>
      <c r="R24" s="8" t="str">
        <f t="shared" si="2"/>
        <v/>
      </c>
      <c r="S24" s="11" t="str">
        <f t="shared" si="4"/>
        <v/>
      </c>
      <c r="T24" s="11" t="str">
        <f t="shared" si="3"/>
        <v/>
      </c>
    </row>
    <row r="25" spans="1:20" ht="15" customHeight="1">
      <c r="A25" s="3">
        <v>15</v>
      </c>
      <c r="B25" s="10" t="str">
        <f>IF(Roster!B19="","",Roster!B19)</f>
        <v/>
      </c>
      <c r="C25" s="19" t="str">
        <f>IF(Roster!C19="","",Roster!C19)</f>
        <v>Michael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 t="str">
        <f t="shared" si="1"/>
        <v/>
      </c>
      <c r="Q25" s="8" t="str">
        <f t="shared" si="1"/>
        <v/>
      </c>
      <c r="R25" s="8" t="str">
        <f t="shared" si="2"/>
        <v/>
      </c>
      <c r="S25" s="11" t="str">
        <f t="shared" si="4"/>
        <v/>
      </c>
      <c r="T25" s="11" t="str">
        <f t="shared" si="3"/>
        <v/>
      </c>
    </row>
    <row r="26" spans="1:20" ht="15" customHeight="1">
      <c r="A26" s="3">
        <v>16</v>
      </c>
      <c r="B26" s="10" t="str">
        <f>IF(Roster!B20="","",Roster!B20)</f>
        <v/>
      </c>
      <c r="C26" s="19" t="str">
        <f>IF(Roster!C20="","",Roster!C20)</f>
        <v>Eddie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 t="str">
        <f t="shared" si="1"/>
        <v/>
      </c>
      <c r="Q26" s="8" t="str">
        <f t="shared" si="1"/>
        <v/>
      </c>
      <c r="R26" s="8" t="str">
        <f t="shared" si="2"/>
        <v/>
      </c>
      <c r="S26" s="11" t="str">
        <f t="shared" si="4"/>
        <v/>
      </c>
      <c r="T26" s="11" t="str">
        <f t="shared" si="3"/>
        <v/>
      </c>
    </row>
    <row r="27" spans="1:20" ht="15" customHeight="1">
      <c r="A27" s="3">
        <v>17</v>
      </c>
      <c r="B27" s="10" t="str">
        <f>IF(Roster!B21="","",Roster!B21)</f>
        <v/>
      </c>
      <c r="C27" s="10" t="str">
        <f>IF(Roster!C21="","",Roster!C21)</f>
        <v>Stephen Zhong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 t="str">
        <f t="shared" si="1"/>
        <v/>
      </c>
      <c r="Q27" s="8" t="str">
        <f t="shared" si="1"/>
        <v/>
      </c>
      <c r="R27" s="8" t="str">
        <f t="shared" si="2"/>
        <v/>
      </c>
      <c r="S27" s="11" t="str">
        <f t="shared" si="4"/>
        <v/>
      </c>
      <c r="T27" s="11" t="str">
        <f t="shared" si="3"/>
        <v/>
      </c>
    </row>
    <row r="28" spans="1:20" ht="15" customHeight="1">
      <c r="A28" s="3">
        <v>18</v>
      </c>
      <c r="B28" s="10" t="str">
        <f>IF(Roster!B22="","",Roster!B22)</f>
        <v/>
      </c>
      <c r="C28" s="10" t="str">
        <f>IF(Roster!C22="","",Roster!C22)</f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 t="shared" si="1"/>
        <v/>
      </c>
      <c r="Q28" s="8" t="str">
        <f t="shared" si="1"/>
        <v/>
      </c>
      <c r="R28" s="8" t="str">
        <f t="shared" si="2"/>
        <v/>
      </c>
      <c r="S28" s="11" t="str">
        <f t="shared" si="4"/>
        <v/>
      </c>
      <c r="T28" s="11" t="str">
        <f t="shared" si="3"/>
        <v/>
      </c>
    </row>
    <row r="29" spans="1:20" ht="15" customHeight="1">
      <c r="A29" s="3">
        <v>19</v>
      </c>
      <c r="B29" s="10" t="str">
        <f>IF(Roster!B23="","",Roster!B23)</f>
        <v/>
      </c>
      <c r="C29" s="10" t="str">
        <f>IF(Roster!C23="","",Roster!C23)</f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 t="str">
        <f t="shared" si="1"/>
        <v/>
      </c>
      <c r="Q29" s="8" t="str">
        <f t="shared" si="1"/>
        <v/>
      </c>
      <c r="R29" s="8" t="str">
        <f t="shared" si="2"/>
        <v/>
      </c>
      <c r="S29" s="11" t="str">
        <f t="shared" si="4"/>
        <v/>
      </c>
      <c r="T29" s="11" t="str">
        <f t="shared" si="3"/>
        <v/>
      </c>
    </row>
    <row r="30" spans="1:20" ht="15" customHeight="1">
      <c r="A30" s="3">
        <v>20</v>
      </c>
      <c r="B30" s="10" t="str">
        <f>IF(Roster!B24="","",Roster!B24)</f>
        <v/>
      </c>
      <c r="C30" s="10" t="str">
        <f>IF(Roster!C24="","",Roster!C24)</f>
        <v/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 t="str">
        <f t="shared" si="1"/>
        <v/>
      </c>
      <c r="Q30" s="8" t="str">
        <f t="shared" si="1"/>
        <v/>
      </c>
      <c r="R30" s="8" t="str">
        <f t="shared" si="2"/>
        <v/>
      </c>
      <c r="S30" s="11" t="str">
        <f t="shared" si="4"/>
        <v/>
      </c>
      <c r="T30" s="11" t="str">
        <f t="shared" si="3"/>
        <v/>
      </c>
    </row>
    <row r="32" spans="1:20">
      <c r="I32" s="18"/>
    </row>
  </sheetData>
  <mergeCells count="4">
    <mergeCell ref="A4:F4"/>
    <mergeCell ref="A9:T9"/>
    <mergeCell ref="A1:U1"/>
    <mergeCell ref="H4:U4"/>
  </mergeCells>
  <conditionalFormatting sqref="C11:C30">
    <cfRule type="expression" dxfId="2" priority="1">
      <formula>COUNTA(D11:N11)&gt;0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50D2-F233-486A-A4DC-FB8A9E6454C5}">
  <dimension ref="A1:U32"/>
  <sheetViews>
    <sheetView showGridLines="0" topLeftCell="B1" workbookViewId="0">
      <selection activeCell="O32" sqref="O32"/>
    </sheetView>
  </sheetViews>
  <sheetFormatPr defaultRowHeight="14"/>
  <cols>
    <col min="1" max="1" width="8" customWidth="1"/>
    <col min="2" max="2" width="10" customWidth="1"/>
    <col min="3" max="3" width="20" customWidth="1"/>
    <col min="4" max="17" width="8" customWidth="1"/>
    <col min="18" max="19" width="9" customWidth="1"/>
    <col min="20" max="20" width="8" customWidth="1"/>
  </cols>
  <sheetData>
    <row r="1" spans="1:21" ht="15" customHeight="1">
      <c r="A1" s="31" t="s">
        <v>13</v>
      </c>
      <c r="B1" s="31" t="s">
        <v>13</v>
      </c>
      <c r="C1" s="31" t="s">
        <v>13</v>
      </c>
      <c r="D1" s="31" t="s">
        <v>13</v>
      </c>
      <c r="E1" s="31" t="s">
        <v>13</v>
      </c>
      <c r="F1" s="31" t="s">
        <v>13</v>
      </c>
      <c r="G1" s="31" t="s">
        <v>13</v>
      </c>
      <c r="H1" s="31" t="s">
        <v>13</v>
      </c>
      <c r="I1" s="31" t="s">
        <v>13</v>
      </c>
      <c r="J1" s="31" t="s">
        <v>13</v>
      </c>
      <c r="K1" s="31" t="s">
        <v>13</v>
      </c>
      <c r="L1" s="31" t="s">
        <v>13</v>
      </c>
      <c r="M1" s="31" t="s">
        <v>13</v>
      </c>
      <c r="N1" s="31"/>
      <c r="O1" s="31" t="s">
        <v>13</v>
      </c>
      <c r="P1" s="31" t="s">
        <v>13</v>
      </c>
      <c r="Q1" s="31" t="s">
        <v>13</v>
      </c>
      <c r="R1" s="31" t="s">
        <v>13</v>
      </c>
      <c r="S1" s="31" t="s">
        <v>13</v>
      </c>
      <c r="T1" s="31" t="s">
        <v>13</v>
      </c>
    </row>
    <row r="2" spans="1:21" ht="15" customHeight="1">
      <c r="A2" s="5" t="s">
        <v>14</v>
      </c>
      <c r="B2" s="15">
        <v>46237</v>
      </c>
      <c r="C2" s="6"/>
      <c r="D2" s="6" t="s">
        <v>15</v>
      </c>
      <c r="E2" s="14" t="s">
        <v>113</v>
      </c>
      <c r="F2" s="6"/>
      <c r="G2" s="6" t="s">
        <v>16</v>
      </c>
      <c r="H2" s="14" t="s">
        <v>94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15" customHeight="1">
      <c r="A4" s="36" t="s">
        <v>17</v>
      </c>
      <c r="B4" s="36" t="s">
        <v>17</v>
      </c>
      <c r="C4" s="36" t="s">
        <v>17</v>
      </c>
      <c r="D4" s="36" t="s">
        <v>17</v>
      </c>
      <c r="E4" s="36" t="s">
        <v>17</v>
      </c>
      <c r="F4" s="36" t="s">
        <v>17</v>
      </c>
      <c r="G4" s="1"/>
      <c r="H4" s="37" t="s">
        <v>18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ht="24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1"/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97</v>
      </c>
      <c r="U5" s="2" t="s">
        <v>114</v>
      </c>
    </row>
    <row r="6" spans="1:21" ht="15" customHeight="1">
      <c r="A6" s="6" t="s">
        <v>37</v>
      </c>
      <c r="B6" s="7">
        <v>20</v>
      </c>
      <c r="C6" s="7">
        <v>41</v>
      </c>
      <c r="D6" s="8">
        <f>IF(B6="","",B6)</f>
        <v>20</v>
      </c>
      <c r="E6" s="8">
        <f>IF(OR(B6="",C6=""),"",C6-B6)</f>
        <v>21</v>
      </c>
      <c r="F6" s="8">
        <f>IF(C6="","",C6)</f>
        <v>41</v>
      </c>
      <c r="G6" s="1"/>
      <c r="H6" s="9">
        <f>SUM(D10:D30)</f>
        <v>12</v>
      </c>
      <c r="I6" s="9">
        <f>SUM(E10:E30)</f>
        <v>34</v>
      </c>
      <c r="J6" s="9">
        <f>SUM(F10:F30)</f>
        <v>4</v>
      </c>
      <c r="K6" s="9">
        <f>SUM(G10:G30)</f>
        <v>21</v>
      </c>
      <c r="L6" s="9">
        <f>SUM(D10:D30)+SUM(F10:F30)</f>
        <v>16</v>
      </c>
      <c r="M6" s="9">
        <f>SUM(E10:E30)+SUM(G10:G30)</f>
        <v>55</v>
      </c>
      <c r="N6" s="9">
        <f t="shared" ref="N6:U6" si="0">SUM(H10:H30)</f>
        <v>5</v>
      </c>
      <c r="O6" s="9">
        <f t="shared" si="0"/>
        <v>12</v>
      </c>
      <c r="P6" s="9">
        <f t="shared" si="0"/>
        <v>33</v>
      </c>
      <c r="Q6" s="9">
        <f t="shared" si="0"/>
        <v>11</v>
      </c>
      <c r="R6" s="9">
        <f t="shared" si="0"/>
        <v>6</v>
      </c>
      <c r="S6" s="9">
        <f t="shared" si="0"/>
        <v>20</v>
      </c>
      <c r="T6" s="9">
        <f t="shared" si="0"/>
        <v>6</v>
      </c>
      <c r="U6" s="9">
        <f t="shared" si="0"/>
        <v>6</v>
      </c>
    </row>
    <row r="7" spans="1:21" ht="15" customHeight="1">
      <c r="A7" s="6" t="s">
        <v>15</v>
      </c>
      <c r="B7" s="7">
        <v>21</v>
      </c>
      <c r="C7" s="7">
        <v>38</v>
      </c>
      <c r="D7" s="8">
        <f>IF(B7="","",B7)</f>
        <v>21</v>
      </c>
      <c r="E7" s="8">
        <f>IF(OR(B7="",C7=""),"",C7-B7)</f>
        <v>17</v>
      </c>
      <c r="F7" s="8">
        <f>IF(C7="","",C7)</f>
        <v>38</v>
      </c>
      <c r="G7" s="1"/>
      <c r="H7" s="16" t="s">
        <v>106</v>
      </c>
      <c r="I7" s="26">
        <f>H6/I6</f>
        <v>0.35294117647058826</v>
      </c>
      <c r="J7" s="16" t="s">
        <v>107</v>
      </c>
      <c r="K7" s="26">
        <f>J6/K6</f>
        <v>0.19047619047619047</v>
      </c>
      <c r="L7" s="16" t="s">
        <v>41</v>
      </c>
      <c r="M7" s="26">
        <f>L6/M6</f>
        <v>0.29090909090909089</v>
      </c>
      <c r="N7" s="16" t="s">
        <v>42</v>
      </c>
      <c r="O7" s="26">
        <f>N6/O6</f>
        <v>0.41666666666666669</v>
      </c>
      <c r="P7" s="1"/>
      <c r="Q7" s="1"/>
      <c r="R7" s="1"/>
      <c r="S7" s="1"/>
      <c r="T7" s="1"/>
    </row>
    <row r="8" spans="1:21" ht="15" customHeight="1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 ht="15" customHeight="1">
      <c r="A9" s="34" t="s">
        <v>38</v>
      </c>
      <c r="B9" s="34" t="s">
        <v>38</v>
      </c>
      <c r="C9" s="34" t="s">
        <v>38</v>
      </c>
      <c r="D9" s="34" t="s">
        <v>38</v>
      </c>
      <c r="E9" s="34" t="s">
        <v>38</v>
      </c>
      <c r="F9" s="34" t="s">
        <v>38</v>
      </c>
      <c r="G9" s="34" t="s">
        <v>38</v>
      </c>
      <c r="H9" s="34" t="s">
        <v>38</v>
      </c>
      <c r="I9" s="34" t="s">
        <v>38</v>
      </c>
      <c r="J9" s="34" t="s">
        <v>38</v>
      </c>
      <c r="K9" s="34" t="s">
        <v>38</v>
      </c>
      <c r="L9" s="34" t="s">
        <v>38</v>
      </c>
      <c r="M9" s="34" t="s">
        <v>38</v>
      </c>
      <c r="N9" s="34"/>
      <c r="O9" s="34" t="s">
        <v>38</v>
      </c>
      <c r="P9" s="34" t="s">
        <v>38</v>
      </c>
      <c r="Q9" s="34" t="s">
        <v>38</v>
      </c>
      <c r="R9" s="34" t="s">
        <v>38</v>
      </c>
      <c r="S9" s="34" t="s">
        <v>38</v>
      </c>
      <c r="T9" s="34" t="s">
        <v>38</v>
      </c>
    </row>
    <row r="10" spans="1:21" ht="15" customHeight="1">
      <c r="A10" s="2" t="s">
        <v>3</v>
      </c>
      <c r="B10" s="2" t="s">
        <v>4</v>
      </c>
      <c r="C10" s="2" t="s">
        <v>39</v>
      </c>
      <c r="D10" s="2" t="s">
        <v>25</v>
      </c>
      <c r="E10" s="2" t="s">
        <v>26</v>
      </c>
      <c r="F10" s="2" t="s">
        <v>27</v>
      </c>
      <c r="G10" s="2" t="s">
        <v>28</v>
      </c>
      <c r="H10" s="16" t="s">
        <v>31</v>
      </c>
      <c r="I10" s="16" t="s">
        <v>32</v>
      </c>
      <c r="J10" s="2" t="s">
        <v>33</v>
      </c>
      <c r="K10" s="2" t="s">
        <v>34</v>
      </c>
      <c r="L10" s="2" t="s">
        <v>35</v>
      </c>
      <c r="M10" s="16" t="s">
        <v>96</v>
      </c>
      <c r="N10" s="16" t="s">
        <v>97</v>
      </c>
      <c r="O10" s="16" t="s">
        <v>114</v>
      </c>
      <c r="P10" s="2" t="s">
        <v>29</v>
      </c>
      <c r="Q10" s="2" t="s">
        <v>30</v>
      </c>
      <c r="R10" s="2" t="s">
        <v>40</v>
      </c>
      <c r="S10" s="2" t="s">
        <v>41</v>
      </c>
      <c r="T10" s="2" t="s">
        <v>42</v>
      </c>
    </row>
    <row r="11" spans="1:21" ht="15" customHeight="1">
      <c r="A11" s="3">
        <v>1</v>
      </c>
      <c r="B11" s="10" t="str">
        <f>IF(Roster!B5="","",Roster!B5)</f>
        <v/>
      </c>
      <c r="C11" s="19" t="str">
        <f>IF(Roster!C5="","",Roster!C5)</f>
        <v>Brendan Wong</v>
      </c>
      <c r="D11" s="7">
        <v>5</v>
      </c>
      <c r="E11" s="7">
        <v>11</v>
      </c>
      <c r="F11" s="7">
        <v>0</v>
      </c>
      <c r="G11" s="7">
        <v>6</v>
      </c>
      <c r="H11" s="7">
        <v>1</v>
      </c>
      <c r="I11" s="7">
        <v>5</v>
      </c>
      <c r="J11" s="7">
        <v>4</v>
      </c>
      <c r="K11" s="7">
        <v>0</v>
      </c>
      <c r="L11" s="7">
        <v>3</v>
      </c>
      <c r="M11" s="7">
        <v>3</v>
      </c>
      <c r="N11" s="7">
        <v>1</v>
      </c>
      <c r="O11" s="7">
        <v>0</v>
      </c>
      <c r="P11" s="8">
        <f t="shared" ref="P11:P30" si="1">IF(SUM(D11,F11)=0,"",D11+F11)</f>
        <v>5</v>
      </c>
      <c r="Q11" s="8">
        <f t="shared" ref="Q11:Q30" si="2">IF(SUM(E11,G11)=0,"",E11+G11)</f>
        <v>17</v>
      </c>
      <c r="R11" s="8">
        <f t="shared" ref="R11:R30" si="3">IF(SUM(D11,F11,H11)=0,"",D11*2+F11*3+H11)</f>
        <v>11</v>
      </c>
      <c r="S11" s="11">
        <f>IF(Q11="","",IF(P11="",0,P11/Q11))</f>
        <v>0.29411764705882354</v>
      </c>
      <c r="T11" s="11">
        <f t="shared" ref="T11:T30" si="4">IF(I11=0,"",H11/I11)</f>
        <v>0.2</v>
      </c>
    </row>
    <row r="12" spans="1:21" ht="15" customHeight="1">
      <c r="A12" s="3">
        <v>2</v>
      </c>
      <c r="B12" s="10" t="str">
        <f>IF(Roster!B6="","",Roster!B6)</f>
        <v/>
      </c>
      <c r="C12" s="19" t="str">
        <f>IF(Roster!C6="","",Roster!C6)</f>
        <v>Kevin Chen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 t="str">
        <f t="shared" si="1"/>
        <v/>
      </c>
      <c r="Q12" s="8" t="str">
        <f t="shared" si="2"/>
        <v/>
      </c>
      <c r="R12" s="8" t="str">
        <f t="shared" si="3"/>
        <v/>
      </c>
      <c r="S12" s="11" t="str">
        <f t="shared" ref="S12:S30" si="5">IF(Q12="","",IF(P12="",0,P12/Q12))</f>
        <v/>
      </c>
      <c r="T12" s="11" t="str">
        <f t="shared" si="4"/>
        <v/>
      </c>
    </row>
    <row r="13" spans="1:21" ht="15" customHeight="1">
      <c r="A13" s="3">
        <v>3</v>
      </c>
      <c r="B13" s="10" t="str">
        <f>IF(Roster!B7="","",Roster!B7)</f>
        <v/>
      </c>
      <c r="C13" s="19" t="str">
        <f>IF(Roster!C7="","",Roster!C7)</f>
        <v>Siddarth D</v>
      </c>
      <c r="D13" s="7">
        <v>1</v>
      </c>
      <c r="E13" s="7">
        <v>3</v>
      </c>
      <c r="F13" s="7">
        <v>0</v>
      </c>
      <c r="G13" s="7">
        <v>0</v>
      </c>
      <c r="H13" s="7">
        <v>1</v>
      </c>
      <c r="I13" s="7">
        <v>2</v>
      </c>
      <c r="J13" s="7">
        <v>4</v>
      </c>
      <c r="K13" s="7">
        <v>3</v>
      </c>
      <c r="L13" s="7">
        <v>0</v>
      </c>
      <c r="M13" s="7">
        <v>6</v>
      </c>
      <c r="N13" s="7">
        <v>3</v>
      </c>
      <c r="O13" s="7">
        <v>4</v>
      </c>
      <c r="P13" s="8">
        <f t="shared" si="1"/>
        <v>1</v>
      </c>
      <c r="Q13" s="8">
        <f t="shared" si="2"/>
        <v>3</v>
      </c>
      <c r="R13" s="8">
        <f t="shared" si="3"/>
        <v>3</v>
      </c>
      <c r="S13" s="11">
        <f t="shared" si="5"/>
        <v>0.33333333333333331</v>
      </c>
      <c r="T13" s="11">
        <f t="shared" si="4"/>
        <v>0.5</v>
      </c>
    </row>
    <row r="14" spans="1:21" ht="15" customHeight="1">
      <c r="A14" s="3">
        <v>4</v>
      </c>
      <c r="B14" s="10" t="str">
        <f>IF(Roster!B8="","",Roster!B8)</f>
        <v/>
      </c>
      <c r="C14" s="19" t="str">
        <f>IF(Roster!C8="","",Roster!C8)</f>
        <v>Ethan Hu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7">
        <v>3</v>
      </c>
      <c r="N14" s="7">
        <v>0</v>
      </c>
      <c r="O14" s="7">
        <v>0</v>
      </c>
      <c r="P14" s="8" t="str">
        <f t="shared" si="1"/>
        <v/>
      </c>
      <c r="Q14" s="8">
        <f t="shared" si="2"/>
        <v>1</v>
      </c>
      <c r="R14" s="8" t="str">
        <f t="shared" si="3"/>
        <v/>
      </c>
      <c r="S14" s="11">
        <f t="shared" si="5"/>
        <v>0</v>
      </c>
      <c r="T14" s="11" t="str">
        <f t="shared" si="4"/>
        <v/>
      </c>
    </row>
    <row r="15" spans="1:21" ht="15" customHeight="1">
      <c r="A15" s="3">
        <v>5</v>
      </c>
      <c r="B15" s="10" t="str">
        <f>IF(Roster!B9="","",Roster!B9)</f>
        <v/>
      </c>
      <c r="C15" s="19" t="str">
        <f>IF(Roster!C9="","",Roster!C9)</f>
        <v>Kenny Liou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 t="str">
        <f t="shared" si="1"/>
        <v/>
      </c>
      <c r="Q15" s="8" t="str">
        <f t="shared" si="2"/>
        <v/>
      </c>
      <c r="R15" s="8" t="str">
        <f t="shared" si="3"/>
        <v/>
      </c>
      <c r="S15" s="11" t="str">
        <f t="shared" si="5"/>
        <v/>
      </c>
      <c r="T15" s="11" t="str">
        <f t="shared" si="4"/>
        <v/>
      </c>
    </row>
    <row r="16" spans="1:21" ht="15" customHeight="1">
      <c r="A16" s="3">
        <v>6</v>
      </c>
      <c r="B16" s="10" t="str">
        <f>IF(Roster!B10="","",Roster!B10)</f>
        <v/>
      </c>
      <c r="C16" s="19" t="str">
        <f>IF(Roster!C10="","",Roster!C10)</f>
        <v>Max Lee</v>
      </c>
      <c r="D16" s="7">
        <v>0</v>
      </c>
      <c r="E16" s="7">
        <v>1</v>
      </c>
      <c r="F16" s="7">
        <v>0</v>
      </c>
      <c r="G16" s="7">
        <v>3</v>
      </c>
      <c r="H16" s="7">
        <v>0</v>
      </c>
      <c r="I16" s="7">
        <v>0</v>
      </c>
      <c r="J16" s="7">
        <v>3</v>
      </c>
      <c r="K16" s="7">
        <v>2</v>
      </c>
      <c r="L16" s="7">
        <v>1</v>
      </c>
      <c r="M16" s="7">
        <v>2</v>
      </c>
      <c r="N16" s="7">
        <v>1</v>
      </c>
      <c r="O16" s="7">
        <v>0</v>
      </c>
      <c r="P16" s="8" t="str">
        <f t="shared" si="1"/>
        <v/>
      </c>
      <c r="Q16" s="8">
        <f t="shared" si="2"/>
        <v>4</v>
      </c>
      <c r="R16" s="8" t="str">
        <f t="shared" si="3"/>
        <v/>
      </c>
      <c r="S16" s="11">
        <f t="shared" si="5"/>
        <v>0</v>
      </c>
      <c r="T16" s="11" t="str">
        <f t="shared" si="4"/>
        <v/>
      </c>
    </row>
    <row r="17" spans="1:20" ht="15" customHeight="1">
      <c r="A17" s="3">
        <v>7</v>
      </c>
      <c r="B17" s="10" t="str">
        <f>IF(Roster!B11="","",Roster!B11)</f>
        <v/>
      </c>
      <c r="C17" s="19" t="str">
        <f>IF(Roster!C11="","",Roster!C11)</f>
        <v>Xuanyi W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8" t="str">
        <f t="shared" si="1"/>
        <v/>
      </c>
      <c r="Q17" s="8">
        <f t="shared" si="2"/>
        <v>1</v>
      </c>
      <c r="R17" s="8" t="str">
        <f t="shared" si="3"/>
        <v/>
      </c>
      <c r="S17" s="11">
        <f t="shared" si="5"/>
        <v>0</v>
      </c>
      <c r="T17" s="11" t="str">
        <f t="shared" si="4"/>
        <v/>
      </c>
    </row>
    <row r="18" spans="1:20" ht="15" customHeight="1">
      <c r="A18" s="3">
        <v>8</v>
      </c>
      <c r="B18" s="10" t="str">
        <f>IF(Roster!B12="","",Roster!B12)</f>
        <v/>
      </c>
      <c r="C18" s="19" t="str">
        <f>IF(Roster!C12="","",Roster!C12)</f>
        <v>Markus Wong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8" t="str">
        <f t="shared" si="1"/>
        <v/>
      </c>
      <c r="Q18" s="8" t="str">
        <f t="shared" si="2"/>
        <v/>
      </c>
      <c r="R18" s="8" t="str">
        <f t="shared" si="3"/>
        <v/>
      </c>
      <c r="S18" s="11" t="str">
        <f t="shared" si="5"/>
        <v/>
      </c>
      <c r="T18" s="11" t="str">
        <f t="shared" si="4"/>
        <v/>
      </c>
    </row>
    <row r="19" spans="1:20" ht="15" customHeight="1">
      <c r="A19" s="3">
        <v>9</v>
      </c>
      <c r="B19" s="10" t="str">
        <f>IF(Roster!B13="","",Roster!B13)</f>
        <v/>
      </c>
      <c r="C19" s="19" t="str">
        <f>IF(Roster!C13="","",Roster!C13)</f>
        <v>Thomas N</v>
      </c>
      <c r="D19" s="7">
        <v>0</v>
      </c>
      <c r="E19" s="7">
        <v>2</v>
      </c>
      <c r="F19" s="7">
        <v>0</v>
      </c>
      <c r="G19" s="7">
        <v>2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8" t="str">
        <f t="shared" si="1"/>
        <v/>
      </c>
      <c r="Q19" s="8">
        <f t="shared" si="2"/>
        <v>4</v>
      </c>
      <c r="R19" s="8" t="str">
        <f t="shared" si="3"/>
        <v/>
      </c>
      <c r="S19" s="11">
        <f t="shared" si="5"/>
        <v>0</v>
      </c>
      <c r="T19" s="11" t="str">
        <f t="shared" si="4"/>
        <v/>
      </c>
    </row>
    <row r="20" spans="1:20" ht="15" customHeight="1">
      <c r="A20" s="3">
        <v>10</v>
      </c>
      <c r="B20" s="10" t="str">
        <f>IF(Roster!B14="","",Roster!B14)</f>
        <v/>
      </c>
      <c r="C20" s="19" t="str">
        <f>IF(Roster!C14="","",Roster!C14)</f>
        <v>Arjun V</v>
      </c>
      <c r="D20" s="7">
        <v>2</v>
      </c>
      <c r="E20" s="7">
        <v>6</v>
      </c>
      <c r="F20" s="7">
        <v>4</v>
      </c>
      <c r="G20" s="7">
        <v>6</v>
      </c>
      <c r="H20" s="7">
        <v>2</v>
      </c>
      <c r="I20" s="7">
        <v>2</v>
      </c>
      <c r="J20" s="7">
        <v>4</v>
      </c>
      <c r="K20" s="7">
        <v>1</v>
      </c>
      <c r="L20" s="7">
        <v>1</v>
      </c>
      <c r="M20" s="7">
        <v>3</v>
      </c>
      <c r="N20" s="7">
        <v>0</v>
      </c>
      <c r="O20" s="7">
        <v>1</v>
      </c>
      <c r="P20" s="8">
        <f t="shared" si="1"/>
        <v>6</v>
      </c>
      <c r="Q20" s="8">
        <f t="shared" si="2"/>
        <v>12</v>
      </c>
      <c r="R20" s="8">
        <f t="shared" si="3"/>
        <v>18</v>
      </c>
      <c r="S20" s="11">
        <f t="shared" si="5"/>
        <v>0.5</v>
      </c>
      <c r="T20" s="11">
        <f t="shared" si="4"/>
        <v>1</v>
      </c>
    </row>
    <row r="21" spans="1:20" ht="15" customHeight="1">
      <c r="A21" s="3">
        <v>11</v>
      </c>
      <c r="B21" s="10" t="str">
        <f>IF(Roster!B15="","",Roster!B15)</f>
        <v/>
      </c>
      <c r="C21" s="19" t="str">
        <f>IF(Roster!C15="","",Roster!C15)</f>
        <v>Yash S</v>
      </c>
      <c r="D21" s="7">
        <v>3</v>
      </c>
      <c r="E21" s="7">
        <v>5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1</v>
      </c>
      <c r="O21" s="7">
        <v>1</v>
      </c>
      <c r="P21" s="8">
        <f t="shared" si="1"/>
        <v>3</v>
      </c>
      <c r="Q21" s="8">
        <f t="shared" si="2"/>
        <v>5</v>
      </c>
      <c r="R21" s="8">
        <f t="shared" si="3"/>
        <v>6</v>
      </c>
      <c r="S21" s="11">
        <f t="shared" si="5"/>
        <v>0.6</v>
      </c>
      <c r="T21" s="11" t="str">
        <f t="shared" si="4"/>
        <v/>
      </c>
    </row>
    <row r="22" spans="1:20" ht="15" customHeight="1">
      <c r="A22" s="3">
        <v>12</v>
      </c>
      <c r="B22" s="10" t="str">
        <f>IF(Roster!B16="","",Roster!B16)</f>
        <v/>
      </c>
      <c r="C22" s="19" t="str">
        <f>IF(Roster!C16="","",Roster!C16)</f>
        <v>Will</v>
      </c>
      <c r="D22" s="7">
        <v>0</v>
      </c>
      <c r="E22" s="7">
        <v>1</v>
      </c>
      <c r="F22" s="7">
        <v>0</v>
      </c>
      <c r="G22" s="7">
        <v>1</v>
      </c>
      <c r="H22" s="7">
        <v>0</v>
      </c>
      <c r="I22" s="7">
        <v>0</v>
      </c>
      <c r="J22" s="7">
        <v>4</v>
      </c>
      <c r="K22" s="7">
        <v>0</v>
      </c>
      <c r="L22" s="7">
        <v>0</v>
      </c>
      <c r="M22" s="7">
        <v>1</v>
      </c>
      <c r="N22" s="7">
        <v>0</v>
      </c>
      <c r="O22" s="7">
        <v>0</v>
      </c>
      <c r="P22" s="8" t="str">
        <f t="shared" si="1"/>
        <v/>
      </c>
      <c r="Q22" s="8">
        <f t="shared" si="2"/>
        <v>2</v>
      </c>
      <c r="R22" s="8" t="str">
        <f t="shared" si="3"/>
        <v/>
      </c>
      <c r="S22" s="11">
        <f t="shared" si="5"/>
        <v>0</v>
      </c>
      <c r="T22" s="11" t="str">
        <f t="shared" si="4"/>
        <v/>
      </c>
    </row>
    <row r="23" spans="1:20" ht="15" customHeight="1">
      <c r="A23" s="3">
        <v>13</v>
      </c>
      <c r="B23" s="10" t="str">
        <f>IF(Roster!B17="","",Roster!B17)</f>
        <v/>
      </c>
      <c r="C23" s="19" t="str">
        <f>IF(Roster!C17="","",Roster!C17)</f>
        <v>Steven</v>
      </c>
      <c r="D23" s="7">
        <v>0</v>
      </c>
      <c r="E23" s="7">
        <v>0</v>
      </c>
      <c r="F23" s="7">
        <v>0</v>
      </c>
      <c r="G23" s="7">
        <v>1</v>
      </c>
      <c r="H23" s="7">
        <v>0</v>
      </c>
      <c r="I23" s="7">
        <v>0</v>
      </c>
      <c r="J23" s="7">
        <v>1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8" t="str">
        <f t="shared" si="1"/>
        <v/>
      </c>
      <c r="Q23" s="8">
        <f t="shared" si="2"/>
        <v>1</v>
      </c>
      <c r="R23" s="8" t="str">
        <f t="shared" si="3"/>
        <v/>
      </c>
      <c r="S23" s="11">
        <f t="shared" si="5"/>
        <v>0</v>
      </c>
      <c r="T23" s="11" t="str">
        <f t="shared" si="4"/>
        <v/>
      </c>
    </row>
    <row r="24" spans="1:20" ht="15" customHeight="1">
      <c r="A24" s="3">
        <v>14</v>
      </c>
      <c r="B24" s="10" t="str">
        <f>IF(Roster!B18="","",Roster!B18)</f>
        <v/>
      </c>
      <c r="C24" s="19" t="str">
        <f>IF(Roster!C18="","",Roster!C18)</f>
        <v>Vee</v>
      </c>
      <c r="D24" s="7">
        <v>1</v>
      </c>
      <c r="E24" s="7">
        <v>4</v>
      </c>
      <c r="F24" s="7">
        <v>0</v>
      </c>
      <c r="G24" s="7">
        <v>1</v>
      </c>
      <c r="H24" s="7">
        <v>1</v>
      </c>
      <c r="I24" s="7">
        <v>3</v>
      </c>
      <c r="J24" s="7">
        <v>9</v>
      </c>
      <c r="K24" s="7">
        <v>3</v>
      </c>
      <c r="L24" s="7">
        <v>1</v>
      </c>
      <c r="M24" s="7">
        <v>1</v>
      </c>
      <c r="N24" s="7">
        <v>0</v>
      </c>
      <c r="O24" s="7">
        <v>0</v>
      </c>
      <c r="P24" s="8">
        <f t="shared" si="1"/>
        <v>1</v>
      </c>
      <c r="Q24" s="8">
        <f t="shared" si="2"/>
        <v>5</v>
      </c>
      <c r="R24" s="8">
        <f t="shared" si="3"/>
        <v>3</v>
      </c>
      <c r="S24" s="11">
        <f t="shared" si="5"/>
        <v>0.2</v>
      </c>
      <c r="T24" s="11">
        <f t="shared" si="4"/>
        <v>0.33333333333333331</v>
      </c>
    </row>
    <row r="25" spans="1:20" ht="15" customHeight="1">
      <c r="A25" s="3">
        <v>15</v>
      </c>
      <c r="B25" s="10" t="str">
        <f>IF(Roster!B19="","",Roster!B19)</f>
        <v/>
      </c>
      <c r="C25" s="19" t="str">
        <f>IF(Roster!C19="","",Roster!C19)</f>
        <v>Michael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 t="str">
        <f t="shared" si="1"/>
        <v/>
      </c>
      <c r="Q25" s="8" t="str">
        <f t="shared" si="2"/>
        <v/>
      </c>
      <c r="R25" s="8" t="str">
        <f t="shared" si="3"/>
        <v/>
      </c>
      <c r="S25" s="11" t="str">
        <f t="shared" si="5"/>
        <v/>
      </c>
      <c r="T25" s="11" t="str">
        <f t="shared" si="4"/>
        <v/>
      </c>
    </row>
    <row r="26" spans="1:20" ht="15" customHeight="1">
      <c r="A26" s="3">
        <v>16</v>
      </c>
      <c r="B26" s="10" t="str">
        <f>IF(Roster!B20="","",Roster!B20)</f>
        <v/>
      </c>
      <c r="C26" s="19" t="str">
        <f>IF(Roster!C20="","",Roster!C20)</f>
        <v>Eddie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 t="str">
        <f t="shared" si="1"/>
        <v/>
      </c>
      <c r="Q26" s="8" t="str">
        <f t="shared" si="2"/>
        <v/>
      </c>
      <c r="R26" s="8" t="str">
        <f t="shared" si="3"/>
        <v/>
      </c>
      <c r="S26" s="11" t="str">
        <f t="shared" si="5"/>
        <v/>
      </c>
      <c r="T26" s="11" t="str">
        <f t="shared" si="4"/>
        <v/>
      </c>
    </row>
    <row r="27" spans="1:20" ht="15" customHeight="1">
      <c r="A27" s="3">
        <v>17</v>
      </c>
      <c r="B27" s="10" t="str">
        <f>IF(Roster!B21="","",Roster!B21)</f>
        <v/>
      </c>
      <c r="C27" s="10" t="str">
        <f>IF(Roster!C21="","",Roster!C21)</f>
        <v>Stephen Zhong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 t="str">
        <f t="shared" si="1"/>
        <v/>
      </c>
      <c r="Q27" s="8" t="str">
        <f t="shared" si="2"/>
        <v/>
      </c>
      <c r="R27" s="8" t="str">
        <f t="shared" si="3"/>
        <v/>
      </c>
      <c r="S27" s="11" t="str">
        <f t="shared" si="5"/>
        <v/>
      </c>
      <c r="T27" s="11" t="str">
        <f t="shared" si="4"/>
        <v/>
      </c>
    </row>
    <row r="28" spans="1:20" ht="15" customHeight="1">
      <c r="A28" s="3">
        <v>18</v>
      </c>
      <c r="B28" s="10" t="str">
        <f>IF(Roster!B22="","",Roster!B22)</f>
        <v/>
      </c>
      <c r="C28" s="10" t="str">
        <f>IF(Roster!C22="","",Roster!C22)</f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 t="shared" si="1"/>
        <v/>
      </c>
      <c r="Q28" s="8" t="str">
        <f t="shared" si="2"/>
        <v/>
      </c>
      <c r="R28" s="8" t="str">
        <f t="shared" si="3"/>
        <v/>
      </c>
      <c r="S28" s="11" t="str">
        <f t="shared" si="5"/>
        <v/>
      </c>
      <c r="T28" s="11" t="str">
        <f t="shared" si="4"/>
        <v/>
      </c>
    </row>
    <row r="29" spans="1:20" ht="15" customHeight="1">
      <c r="A29" s="3">
        <v>19</v>
      </c>
      <c r="B29" s="10" t="str">
        <f>IF(Roster!B23="","",Roster!B23)</f>
        <v/>
      </c>
      <c r="C29" s="10" t="str">
        <f>IF(Roster!C23="","",Roster!C23)</f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 t="str">
        <f t="shared" si="1"/>
        <v/>
      </c>
      <c r="Q29" s="8" t="str">
        <f t="shared" si="2"/>
        <v/>
      </c>
      <c r="R29" s="8" t="str">
        <f t="shared" si="3"/>
        <v/>
      </c>
      <c r="S29" s="11" t="str">
        <f t="shared" si="5"/>
        <v/>
      </c>
      <c r="T29" s="11" t="str">
        <f t="shared" si="4"/>
        <v/>
      </c>
    </row>
    <row r="30" spans="1:20" ht="15" customHeight="1">
      <c r="A30" s="3">
        <v>20</v>
      </c>
      <c r="B30" s="10" t="str">
        <f>IF(Roster!B24="","",Roster!B24)</f>
        <v/>
      </c>
      <c r="C30" s="10" t="str">
        <f>IF(Roster!C24="","",Roster!C24)</f>
        <v/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 t="str">
        <f t="shared" si="1"/>
        <v/>
      </c>
      <c r="Q30" s="8" t="str">
        <f t="shared" si="2"/>
        <v/>
      </c>
      <c r="R30" s="8" t="str">
        <f t="shared" si="3"/>
        <v/>
      </c>
      <c r="S30" s="11" t="str">
        <f t="shared" si="5"/>
        <v/>
      </c>
      <c r="T30" s="11" t="str">
        <f t="shared" si="4"/>
        <v/>
      </c>
    </row>
    <row r="32" spans="1:20">
      <c r="H32" s="18"/>
      <c r="I32" s="18"/>
    </row>
  </sheetData>
  <mergeCells count="4">
    <mergeCell ref="A1:T1"/>
    <mergeCell ref="A4:F4"/>
    <mergeCell ref="A9:T9"/>
    <mergeCell ref="H4:U4"/>
  </mergeCells>
  <conditionalFormatting sqref="C11:C30">
    <cfRule type="expression" dxfId="1" priority="1">
      <formula>COUNTA(D11:N11)&gt;0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03"/>
  <sheetViews>
    <sheetView showGridLines="0" workbookViewId="0">
      <selection activeCell="U10" sqref="U10"/>
    </sheetView>
  </sheetViews>
  <sheetFormatPr defaultRowHeight="14"/>
  <cols>
    <col min="1" max="2" width="12" customWidth="1"/>
    <col min="3" max="3" width="18" customWidth="1"/>
    <col min="4" max="4" width="10" customWidth="1"/>
    <col min="5" max="5" width="20" customWidth="1"/>
    <col min="6" max="19" width="8" customWidth="1"/>
    <col min="20" max="21" width="9" customWidth="1"/>
  </cols>
  <sheetData>
    <row r="1" spans="1:22" ht="15" customHeight="1">
      <c r="A1" s="31" t="s">
        <v>43</v>
      </c>
      <c r="B1" s="31" t="s">
        <v>43</v>
      </c>
      <c r="C1" s="31" t="s">
        <v>43</v>
      </c>
      <c r="D1" s="31" t="s">
        <v>43</v>
      </c>
      <c r="E1" s="31" t="s">
        <v>43</v>
      </c>
      <c r="F1" s="31" t="s">
        <v>43</v>
      </c>
      <c r="G1" s="31" t="s">
        <v>43</v>
      </c>
      <c r="H1" s="31" t="s">
        <v>43</v>
      </c>
      <c r="I1" s="31" t="s">
        <v>43</v>
      </c>
      <c r="J1" s="31" t="s">
        <v>43</v>
      </c>
      <c r="K1" s="31" t="s">
        <v>43</v>
      </c>
      <c r="L1" s="31" t="s">
        <v>43</v>
      </c>
      <c r="M1" s="31" t="s">
        <v>43</v>
      </c>
      <c r="N1" s="31" t="s">
        <v>43</v>
      </c>
      <c r="O1" s="31" t="s">
        <v>43</v>
      </c>
      <c r="P1" s="31" t="s">
        <v>43</v>
      </c>
      <c r="Q1" s="31" t="s">
        <v>43</v>
      </c>
      <c r="R1" s="31"/>
      <c r="S1" s="31" t="s">
        <v>43</v>
      </c>
      <c r="T1" s="31" t="s">
        <v>43</v>
      </c>
      <c r="U1" s="31" t="s">
        <v>43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5" customHeight="1">
      <c r="A3" s="2" t="s">
        <v>44</v>
      </c>
      <c r="B3" s="2" t="s">
        <v>45</v>
      </c>
      <c r="C3" s="2" t="s">
        <v>15</v>
      </c>
      <c r="D3" s="2" t="s">
        <v>4</v>
      </c>
      <c r="E3" s="2" t="s">
        <v>39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97</v>
      </c>
      <c r="Q3" s="2" t="s">
        <v>114</v>
      </c>
      <c r="R3" s="2" t="s">
        <v>29</v>
      </c>
      <c r="S3" s="2" t="s">
        <v>30</v>
      </c>
      <c r="T3" s="2" t="s">
        <v>40</v>
      </c>
      <c r="U3" s="2" t="s">
        <v>41</v>
      </c>
      <c r="V3" s="2" t="s">
        <v>42</v>
      </c>
    </row>
    <row r="4" spans="1:22" ht="15" customHeight="1">
      <c r="A4" s="4">
        <v>1</v>
      </c>
      <c r="B4" s="15">
        <v>46223</v>
      </c>
      <c r="C4" s="14" t="s">
        <v>95</v>
      </c>
      <c r="D4" s="4"/>
      <c r="E4" s="4" t="s">
        <v>76</v>
      </c>
      <c r="F4" s="7">
        <v>5</v>
      </c>
      <c r="G4" s="7">
        <v>14</v>
      </c>
      <c r="H4" s="7">
        <v>1</v>
      </c>
      <c r="I4" s="7">
        <v>2</v>
      </c>
      <c r="J4" s="7">
        <v>2</v>
      </c>
      <c r="K4" s="7">
        <v>8</v>
      </c>
      <c r="L4" s="7">
        <v>6</v>
      </c>
      <c r="M4" s="7">
        <v>0</v>
      </c>
      <c r="N4" s="7">
        <v>1</v>
      </c>
      <c r="O4" s="7">
        <v>2</v>
      </c>
      <c r="P4" s="7">
        <v>1</v>
      </c>
      <c r="Q4" s="7"/>
      <c r="R4" s="8">
        <f t="shared" ref="R4:R32" si="0">IF(AND(F4="",H4=""),"",IF(SUM(F4,H4)=0,0,F4+H4))</f>
        <v>6</v>
      </c>
      <c r="S4" s="8">
        <f t="shared" ref="S4:S67" si="1">IF(SUM(G4,I4)=0,"",G4+I4)</f>
        <v>16</v>
      </c>
      <c r="T4" s="8">
        <f t="shared" ref="T4:T67" si="2">IF(SUM(F4,H4,J4)=0,"",F4*2+H4*3+J4)</f>
        <v>15</v>
      </c>
      <c r="U4" s="11">
        <f>IF(S4="","",IF(R4="",0,R4/S4))</f>
        <v>0.375</v>
      </c>
      <c r="V4" s="11">
        <f t="shared" ref="V4:V67" si="3">IF(K4=0,"",J4/K4)</f>
        <v>0.25</v>
      </c>
    </row>
    <row r="5" spans="1:22" ht="15" customHeight="1">
      <c r="A5" s="4">
        <v>1</v>
      </c>
      <c r="B5" s="15">
        <v>46223</v>
      </c>
      <c r="C5" s="14" t="s">
        <v>95</v>
      </c>
      <c r="D5" s="4"/>
      <c r="E5" s="4" t="s">
        <v>78</v>
      </c>
      <c r="F5" s="7">
        <v>0</v>
      </c>
      <c r="G5" s="7">
        <v>1</v>
      </c>
      <c r="H5" s="7">
        <v>0</v>
      </c>
      <c r="I5" s="7">
        <v>4</v>
      </c>
      <c r="J5" s="7">
        <v>0</v>
      </c>
      <c r="K5" s="7">
        <v>0</v>
      </c>
      <c r="L5" s="7">
        <v>2</v>
      </c>
      <c r="M5" s="7">
        <v>0</v>
      </c>
      <c r="N5" s="7">
        <v>0</v>
      </c>
      <c r="O5" s="7">
        <v>1</v>
      </c>
      <c r="P5" s="7">
        <v>0</v>
      </c>
      <c r="Q5" s="7"/>
      <c r="R5" s="8">
        <f t="shared" si="0"/>
        <v>0</v>
      </c>
      <c r="S5" s="8">
        <f t="shared" si="1"/>
        <v>5</v>
      </c>
      <c r="T5" s="8" t="str">
        <f t="shared" si="2"/>
        <v/>
      </c>
      <c r="U5" s="11">
        <f t="shared" ref="U5:U68" si="4">IF(S5="","",IF(R5="",0,R5/S5))</f>
        <v>0</v>
      </c>
      <c r="V5" s="11" t="str">
        <f t="shared" si="3"/>
        <v/>
      </c>
    </row>
    <row r="6" spans="1:22" ht="15" customHeight="1">
      <c r="A6" s="4">
        <v>1</v>
      </c>
      <c r="B6" s="15">
        <v>46223</v>
      </c>
      <c r="C6" s="14" t="s">
        <v>95</v>
      </c>
      <c r="D6" s="4"/>
      <c r="E6" s="4" t="s">
        <v>79</v>
      </c>
      <c r="F6" s="7">
        <v>0</v>
      </c>
      <c r="G6" s="7">
        <v>3</v>
      </c>
      <c r="H6" s="7">
        <v>0</v>
      </c>
      <c r="I6" s="7">
        <v>1</v>
      </c>
      <c r="J6" s="7">
        <v>0</v>
      </c>
      <c r="K6" s="7">
        <v>0</v>
      </c>
      <c r="L6" s="7">
        <v>5</v>
      </c>
      <c r="M6" s="7">
        <v>1</v>
      </c>
      <c r="N6" s="7">
        <v>0</v>
      </c>
      <c r="O6" s="7">
        <v>0</v>
      </c>
      <c r="P6" s="7">
        <v>1</v>
      </c>
      <c r="Q6" s="7"/>
      <c r="R6" s="8">
        <f t="shared" si="0"/>
        <v>0</v>
      </c>
      <c r="S6" s="8">
        <f t="shared" si="1"/>
        <v>4</v>
      </c>
      <c r="T6" s="8" t="str">
        <f t="shared" si="2"/>
        <v/>
      </c>
      <c r="U6" s="11">
        <f t="shared" si="4"/>
        <v>0</v>
      </c>
      <c r="V6" s="11" t="str">
        <f t="shared" si="3"/>
        <v/>
      </c>
    </row>
    <row r="7" spans="1:22" ht="15" customHeight="1">
      <c r="A7" s="4">
        <v>1</v>
      </c>
      <c r="B7" s="15">
        <v>46223</v>
      </c>
      <c r="C7" s="14" t="s">
        <v>95</v>
      </c>
      <c r="D7" s="4"/>
      <c r="E7" s="4" t="s">
        <v>74</v>
      </c>
      <c r="F7" s="7">
        <v>0</v>
      </c>
      <c r="G7" s="7">
        <v>0</v>
      </c>
      <c r="H7" s="7">
        <v>0</v>
      </c>
      <c r="I7" s="7">
        <v>7</v>
      </c>
      <c r="J7" s="7">
        <v>0</v>
      </c>
      <c r="K7" s="7">
        <v>0</v>
      </c>
      <c r="L7" s="7">
        <v>2</v>
      </c>
      <c r="M7" s="7">
        <v>1</v>
      </c>
      <c r="N7" s="7">
        <v>0</v>
      </c>
      <c r="O7" s="7">
        <v>0</v>
      </c>
      <c r="P7" s="7">
        <v>0</v>
      </c>
      <c r="Q7" s="7"/>
      <c r="R7" s="8">
        <f t="shared" si="0"/>
        <v>0</v>
      </c>
      <c r="S7" s="8">
        <f t="shared" si="1"/>
        <v>7</v>
      </c>
      <c r="T7" s="8" t="str">
        <f t="shared" si="2"/>
        <v/>
      </c>
      <c r="U7" s="11">
        <f t="shared" si="4"/>
        <v>0</v>
      </c>
      <c r="V7" s="11" t="str">
        <f t="shared" si="3"/>
        <v/>
      </c>
    </row>
    <row r="8" spans="1:22" ht="15" customHeight="1">
      <c r="A8" s="4">
        <v>1</v>
      </c>
      <c r="B8" s="15">
        <v>46223</v>
      </c>
      <c r="C8" s="14" t="s">
        <v>95</v>
      </c>
      <c r="D8" s="4"/>
      <c r="E8" s="4" t="s">
        <v>80</v>
      </c>
      <c r="F8" s="7">
        <v>1</v>
      </c>
      <c r="G8" s="7">
        <v>1</v>
      </c>
      <c r="H8" s="7">
        <v>1</v>
      </c>
      <c r="I8" s="7">
        <v>3</v>
      </c>
      <c r="J8" s="7">
        <v>0</v>
      </c>
      <c r="K8" s="7">
        <v>0</v>
      </c>
      <c r="L8" s="7">
        <v>4</v>
      </c>
      <c r="M8" s="7">
        <v>1</v>
      </c>
      <c r="N8" s="7">
        <v>0</v>
      </c>
      <c r="O8" s="7">
        <v>0</v>
      </c>
      <c r="P8" s="7">
        <v>1</v>
      </c>
      <c r="Q8" s="7"/>
      <c r="R8" s="8">
        <f t="shared" si="0"/>
        <v>2</v>
      </c>
      <c r="S8" s="8">
        <f t="shared" si="1"/>
        <v>4</v>
      </c>
      <c r="T8" s="8">
        <f t="shared" si="2"/>
        <v>5</v>
      </c>
      <c r="U8" s="11">
        <f t="shared" si="4"/>
        <v>0.5</v>
      </c>
      <c r="V8" s="11" t="str">
        <f t="shared" si="3"/>
        <v/>
      </c>
    </row>
    <row r="9" spans="1:22" ht="15" customHeight="1">
      <c r="A9" s="4">
        <v>1</v>
      </c>
      <c r="B9" s="15">
        <v>46223</v>
      </c>
      <c r="C9" s="14" t="s">
        <v>95</v>
      </c>
      <c r="D9" s="4"/>
      <c r="E9" s="4" t="s">
        <v>81</v>
      </c>
      <c r="F9" s="7">
        <v>0</v>
      </c>
      <c r="G9" s="7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/>
      <c r="R9" s="8">
        <f t="shared" si="0"/>
        <v>0</v>
      </c>
      <c r="S9" s="8">
        <f t="shared" si="1"/>
        <v>2</v>
      </c>
      <c r="T9" s="8" t="str">
        <f t="shared" si="2"/>
        <v/>
      </c>
      <c r="U9" s="11">
        <f t="shared" si="4"/>
        <v>0</v>
      </c>
      <c r="V9" s="11" t="str">
        <f t="shared" si="3"/>
        <v/>
      </c>
    </row>
    <row r="10" spans="1:22" ht="15" customHeight="1">
      <c r="A10" s="4">
        <v>1</v>
      </c>
      <c r="B10" s="15">
        <v>46223</v>
      </c>
      <c r="C10" s="14" t="s">
        <v>95</v>
      </c>
      <c r="D10" s="4"/>
      <c r="E10" s="4" t="s">
        <v>82</v>
      </c>
      <c r="F10" s="7">
        <v>0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7">
        <v>0</v>
      </c>
      <c r="Q10" s="7"/>
      <c r="R10" s="8">
        <f t="shared" si="0"/>
        <v>0</v>
      </c>
      <c r="S10" s="8">
        <f t="shared" si="1"/>
        <v>3</v>
      </c>
      <c r="T10" s="8" t="str">
        <f t="shared" si="2"/>
        <v/>
      </c>
      <c r="U10" s="11">
        <f t="shared" si="4"/>
        <v>0</v>
      </c>
      <c r="V10" s="11" t="str">
        <f t="shared" si="3"/>
        <v/>
      </c>
    </row>
    <row r="11" spans="1:22" ht="15" customHeight="1">
      <c r="A11" s="4">
        <v>1</v>
      </c>
      <c r="B11" s="15">
        <v>46223</v>
      </c>
      <c r="C11" s="14" t="s">
        <v>95</v>
      </c>
      <c r="D11" s="4"/>
      <c r="E11" s="4" t="s">
        <v>85</v>
      </c>
      <c r="F11" s="7">
        <v>4</v>
      </c>
      <c r="G11" s="7">
        <v>9</v>
      </c>
      <c r="H11" s="7">
        <v>0</v>
      </c>
      <c r="I11" s="7">
        <v>10</v>
      </c>
      <c r="J11" s="7">
        <v>3</v>
      </c>
      <c r="K11" s="7">
        <v>3</v>
      </c>
      <c r="L11" s="7">
        <v>4</v>
      </c>
      <c r="M11" s="7">
        <v>0</v>
      </c>
      <c r="N11" s="7">
        <v>1</v>
      </c>
      <c r="O11" s="7">
        <v>1</v>
      </c>
      <c r="P11" s="7">
        <v>1</v>
      </c>
      <c r="Q11" s="7"/>
      <c r="R11" s="8">
        <f t="shared" si="0"/>
        <v>4</v>
      </c>
      <c r="S11" s="8">
        <f t="shared" si="1"/>
        <v>19</v>
      </c>
      <c r="T11" s="8">
        <f t="shared" si="2"/>
        <v>11</v>
      </c>
      <c r="U11" s="11">
        <f t="shared" si="4"/>
        <v>0.21052631578947367</v>
      </c>
      <c r="V11" s="11">
        <f t="shared" si="3"/>
        <v>1</v>
      </c>
    </row>
    <row r="12" spans="1:22" ht="15" customHeight="1">
      <c r="A12" s="4">
        <v>2</v>
      </c>
      <c r="B12" s="15">
        <v>46230</v>
      </c>
      <c r="C12" s="4" t="s">
        <v>104</v>
      </c>
      <c r="D12" s="4"/>
      <c r="E12" s="4" t="s">
        <v>76</v>
      </c>
      <c r="F12" s="7">
        <v>2</v>
      </c>
      <c r="G12" s="7">
        <v>9</v>
      </c>
      <c r="H12" s="7">
        <v>0</v>
      </c>
      <c r="I12" s="7">
        <v>3</v>
      </c>
      <c r="J12" s="7">
        <v>3</v>
      </c>
      <c r="K12" s="7">
        <v>13</v>
      </c>
      <c r="L12" s="7">
        <v>4</v>
      </c>
      <c r="M12" s="7">
        <v>1</v>
      </c>
      <c r="N12" s="7">
        <v>2</v>
      </c>
      <c r="O12" s="7">
        <v>3</v>
      </c>
      <c r="P12" s="7">
        <v>2</v>
      </c>
      <c r="Q12" s="7">
        <v>0</v>
      </c>
      <c r="R12" s="8">
        <f t="shared" si="0"/>
        <v>2</v>
      </c>
      <c r="S12" s="8">
        <f t="shared" si="1"/>
        <v>12</v>
      </c>
      <c r="T12" s="8">
        <f t="shared" si="2"/>
        <v>7</v>
      </c>
      <c r="U12" s="11">
        <f t="shared" si="4"/>
        <v>0.16666666666666666</v>
      </c>
      <c r="V12" s="11">
        <f t="shared" si="3"/>
        <v>0.23076923076923078</v>
      </c>
    </row>
    <row r="13" spans="1:22" ht="15" customHeight="1">
      <c r="A13" s="4">
        <v>2</v>
      </c>
      <c r="B13" s="15">
        <v>46230</v>
      </c>
      <c r="C13" s="4" t="s">
        <v>104</v>
      </c>
      <c r="D13" s="4"/>
      <c r="E13" s="4" t="s">
        <v>77</v>
      </c>
      <c r="F13" s="7">
        <v>2</v>
      </c>
      <c r="G13" s="7">
        <v>4</v>
      </c>
      <c r="H13" s="7">
        <v>0</v>
      </c>
      <c r="I13" s="7">
        <v>1</v>
      </c>
      <c r="J13" s="7">
        <v>0</v>
      </c>
      <c r="K13" s="7">
        <v>0</v>
      </c>
      <c r="L13" s="7">
        <v>6</v>
      </c>
      <c r="M13" s="7">
        <v>3</v>
      </c>
      <c r="N13" s="7">
        <v>0</v>
      </c>
      <c r="O13" s="7">
        <v>2</v>
      </c>
      <c r="P13" s="7">
        <v>3</v>
      </c>
      <c r="Q13" s="7">
        <v>2</v>
      </c>
      <c r="R13" s="8">
        <f t="shared" si="0"/>
        <v>2</v>
      </c>
      <c r="S13" s="8">
        <f t="shared" si="1"/>
        <v>5</v>
      </c>
      <c r="T13" s="8">
        <f t="shared" si="2"/>
        <v>4</v>
      </c>
      <c r="U13" s="11">
        <f t="shared" si="4"/>
        <v>0.4</v>
      </c>
      <c r="V13" s="11" t="str">
        <f t="shared" si="3"/>
        <v/>
      </c>
    </row>
    <row r="14" spans="1:22" ht="15" customHeight="1">
      <c r="A14" s="4">
        <v>2</v>
      </c>
      <c r="B14" s="15">
        <v>46230</v>
      </c>
      <c r="C14" s="4" t="s">
        <v>104</v>
      </c>
      <c r="D14" s="4"/>
      <c r="E14" s="4" t="s">
        <v>78</v>
      </c>
      <c r="F14" s="7">
        <v>0</v>
      </c>
      <c r="G14" s="7">
        <v>3</v>
      </c>
      <c r="H14" s="7">
        <v>1</v>
      </c>
      <c r="I14" s="7">
        <v>6</v>
      </c>
      <c r="J14" s="7">
        <v>1</v>
      </c>
      <c r="K14" s="7">
        <v>2</v>
      </c>
      <c r="L14" s="7">
        <v>3</v>
      </c>
      <c r="M14" s="7">
        <v>3</v>
      </c>
      <c r="N14" s="7">
        <v>1</v>
      </c>
      <c r="O14" s="7">
        <v>0</v>
      </c>
      <c r="P14" s="7">
        <v>0</v>
      </c>
      <c r="Q14" s="7">
        <v>0</v>
      </c>
      <c r="R14" s="8">
        <f t="shared" si="0"/>
        <v>1</v>
      </c>
      <c r="S14" s="8">
        <f t="shared" si="1"/>
        <v>9</v>
      </c>
      <c r="T14" s="8">
        <f t="shared" si="2"/>
        <v>4</v>
      </c>
      <c r="U14" s="11">
        <f t="shared" si="4"/>
        <v>0.1111111111111111</v>
      </c>
      <c r="V14" s="11">
        <f t="shared" si="3"/>
        <v>0.5</v>
      </c>
    </row>
    <row r="15" spans="1:22" ht="15" customHeight="1">
      <c r="A15" s="4">
        <v>2</v>
      </c>
      <c r="B15" s="15">
        <v>46230</v>
      </c>
      <c r="C15" s="4" t="s">
        <v>104</v>
      </c>
      <c r="D15" s="4"/>
      <c r="E15" s="4" t="s">
        <v>79</v>
      </c>
      <c r="F15" s="7">
        <v>1</v>
      </c>
      <c r="G15" s="7">
        <v>2</v>
      </c>
      <c r="H15" s="7">
        <v>0</v>
      </c>
      <c r="I15" s="7">
        <v>0</v>
      </c>
      <c r="J15" s="7">
        <v>2</v>
      </c>
      <c r="K15" s="7">
        <v>3</v>
      </c>
      <c r="L15" s="7">
        <v>3</v>
      </c>
      <c r="M15" s="7">
        <v>5</v>
      </c>
      <c r="N15" s="7">
        <v>2</v>
      </c>
      <c r="O15" s="7">
        <v>1</v>
      </c>
      <c r="P15" s="7">
        <v>2</v>
      </c>
      <c r="Q15" s="7">
        <v>0</v>
      </c>
      <c r="R15" s="8">
        <f t="shared" si="0"/>
        <v>1</v>
      </c>
      <c r="S15" s="8">
        <f t="shared" si="1"/>
        <v>2</v>
      </c>
      <c r="T15" s="8">
        <f t="shared" si="2"/>
        <v>4</v>
      </c>
      <c r="U15" s="11">
        <f t="shared" si="4"/>
        <v>0.5</v>
      </c>
      <c r="V15" s="11">
        <f t="shared" si="3"/>
        <v>0.66666666666666663</v>
      </c>
    </row>
    <row r="16" spans="1:22" ht="15" customHeight="1">
      <c r="A16" s="4">
        <v>2</v>
      </c>
      <c r="B16" s="15">
        <v>46230</v>
      </c>
      <c r="C16" s="4" t="s">
        <v>104</v>
      </c>
      <c r="D16" s="4"/>
      <c r="E16" s="4" t="s">
        <v>81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 t="str">
        <f t="shared" si="0"/>
        <v/>
      </c>
      <c r="S16" s="8" t="str">
        <f t="shared" si="1"/>
        <v/>
      </c>
      <c r="T16" s="8" t="str">
        <f t="shared" si="2"/>
        <v/>
      </c>
      <c r="U16" s="11" t="str">
        <f t="shared" si="4"/>
        <v/>
      </c>
      <c r="V16" s="11" t="str">
        <f t="shared" si="3"/>
        <v/>
      </c>
    </row>
    <row r="17" spans="1:22" ht="15" customHeight="1">
      <c r="A17" s="4">
        <v>2</v>
      </c>
      <c r="B17" s="15">
        <v>46230</v>
      </c>
      <c r="C17" s="4" t="s">
        <v>104</v>
      </c>
      <c r="D17" s="4"/>
      <c r="E17" s="4" t="s">
        <v>82</v>
      </c>
      <c r="F17" s="7">
        <v>0</v>
      </c>
      <c r="G17" s="7">
        <v>2</v>
      </c>
      <c r="H17" s="7">
        <v>1</v>
      </c>
      <c r="I17" s="7">
        <v>1</v>
      </c>
      <c r="J17" s="7">
        <v>0</v>
      </c>
      <c r="K17" s="7">
        <v>0</v>
      </c>
      <c r="L17" s="7">
        <v>0</v>
      </c>
      <c r="M17" s="7">
        <v>1</v>
      </c>
      <c r="N17" s="7">
        <v>1</v>
      </c>
      <c r="O17" s="7">
        <v>0</v>
      </c>
      <c r="P17" s="7">
        <v>0</v>
      </c>
      <c r="Q17" s="7">
        <v>0</v>
      </c>
      <c r="R17" s="8">
        <f t="shared" si="0"/>
        <v>1</v>
      </c>
      <c r="S17" s="8">
        <f t="shared" si="1"/>
        <v>3</v>
      </c>
      <c r="T17" s="8">
        <f t="shared" si="2"/>
        <v>3</v>
      </c>
      <c r="U17" s="11">
        <f t="shared" si="4"/>
        <v>0.33333333333333331</v>
      </c>
      <c r="V17" s="11" t="str">
        <f t="shared" si="3"/>
        <v/>
      </c>
    </row>
    <row r="18" spans="1:22" ht="15" customHeight="1">
      <c r="A18" s="4">
        <v>2</v>
      </c>
      <c r="B18" s="15">
        <v>46230</v>
      </c>
      <c r="C18" s="4" t="s">
        <v>104</v>
      </c>
      <c r="D18" s="4"/>
      <c r="E18" s="4" t="s">
        <v>85</v>
      </c>
      <c r="F18" s="7">
        <v>1</v>
      </c>
      <c r="G18" s="7">
        <v>9</v>
      </c>
      <c r="H18" s="7">
        <v>3</v>
      </c>
      <c r="I18" s="7">
        <v>12</v>
      </c>
      <c r="J18" s="7">
        <v>0</v>
      </c>
      <c r="K18" s="7">
        <v>0</v>
      </c>
      <c r="L18" s="7">
        <v>1</v>
      </c>
      <c r="M18" s="7">
        <v>0</v>
      </c>
      <c r="N18" s="7">
        <v>1</v>
      </c>
      <c r="O18" s="7">
        <v>4</v>
      </c>
      <c r="P18" s="7">
        <v>3</v>
      </c>
      <c r="Q18" s="7">
        <v>0</v>
      </c>
      <c r="R18" s="8">
        <f t="shared" si="0"/>
        <v>4</v>
      </c>
      <c r="S18" s="8">
        <f t="shared" si="1"/>
        <v>21</v>
      </c>
      <c r="T18" s="8">
        <f t="shared" si="2"/>
        <v>11</v>
      </c>
      <c r="U18" s="11">
        <f t="shared" si="4"/>
        <v>0.19047619047619047</v>
      </c>
      <c r="V18" s="11" t="str">
        <f t="shared" si="3"/>
        <v/>
      </c>
    </row>
    <row r="19" spans="1:22" ht="15" customHeight="1">
      <c r="A19" s="4">
        <v>2</v>
      </c>
      <c r="B19" s="15">
        <v>46230</v>
      </c>
      <c r="C19" s="4" t="s">
        <v>104</v>
      </c>
      <c r="D19" s="4"/>
      <c r="E19" s="4" t="s">
        <v>102</v>
      </c>
      <c r="F19" s="7">
        <v>0</v>
      </c>
      <c r="G19" s="7">
        <v>1</v>
      </c>
      <c r="H19" s="7">
        <v>0</v>
      </c>
      <c r="I19" s="7">
        <v>1</v>
      </c>
      <c r="J19" s="7">
        <v>0</v>
      </c>
      <c r="K19" s="7">
        <v>0</v>
      </c>
      <c r="L19" s="7">
        <v>2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</v>
      </c>
      <c r="S19" s="8">
        <f t="shared" si="1"/>
        <v>2</v>
      </c>
      <c r="T19" s="8" t="str">
        <f t="shared" si="2"/>
        <v/>
      </c>
      <c r="U19" s="11">
        <f t="shared" si="4"/>
        <v>0</v>
      </c>
      <c r="V19" s="11" t="str">
        <f t="shared" si="3"/>
        <v/>
      </c>
    </row>
    <row r="20" spans="1:22" ht="15" customHeight="1">
      <c r="A20" s="4">
        <v>2</v>
      </c>
      <c r="B20" s="15">
        <v>46230</v>
      </c>
      <c r="C20" s="4" t="s">
        <v>104</v>
      </c>
      <c r="D20" s="4"/>
      <c r="E20" s="4" t="s">
        <v>103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</v>
      </c>
      <c r="S20" s="8">
        <f t="shared" si="1"/>
        <v>1</v>
      </c>
      <c r="T20" s="8" t="str">
        <f t="shared" si="2"/>
        <v/>
      </c>
      <c r="U20" s="11">
        <f t="shared" si="4"/>
        <v>0</v>
      </c>
      <c r="V20" s="11" t="str">
        <f t="shared" si="3"/>
        <v/>
      </c>
    </row>
    <row r="21" spans="1:22" ht="15" customHeight="1">
      <c r="A21" s="4">
        <v>3</v>
      </c>
      <c r="B21" s="15">
        <v>46237</v>
      </c>
      <c r="C21" s="4" t="s">
        <v>113</v>
      </c>
      <c r="D21" s="4"/>
      <c r="E21" s="4" t="s">
        <v>75</v>
      </c>
      <c r="F21" s="7">
        <v>5</v>
      </c>
      <c r="G21" s="7">
        <v>11</v>
      </c>
      <c r="H21" s="7">
        <v>0</v>
      </c>
      <c r="I21" s="7">
        <v>6</v>
      </c>
      <c r="J21" s="7">
        <v>1</v>
      </c>
      <c r="K21" s="7">
        <v>5</v>
      </c>
      <c r="L21" s="7">
        <v>4</v>
      </c>
      <c r="M21" s="7">
        <v>0</v>
      </c>
      <c r="N21" s="7">
        <v>3</v>
      </c>
      <c r="O21" s="7">
        <v>3</v>
      </c>
      <c r="P21" s="7">
        <v>1</v>
      </c>
      <c r="Q21" s="7">
        <v>0</v>
      </c>
      <c r="R21" s="8">
        <f t="shared" si="0"/>
        <v>5</v>
      </c>
      <c r="S21" s="8">
        <f t="shared" si="1"/>
        <v>17</v>
      </c>
      <c r="T21" s="8">
        <f t="shared" si="2"/>
        <v>11</v>
      </c>
      <c r="U21" s="11">
        <f t="shared" si="4"/>
        <v>0.29411764705882354</v>
      </c>
      <c r="V21" s="11">
        <f t="shared" si="3"/>
        <v>0.2</v>
      </c>
    </row>
    <row r="22" spans="1:22" ht="15" customHeight="1">
      <c r="A22" s="4">
        <v>3</v>
      </c>
      <c r="B22" s="15">
        <v>46237</v>
      </c>
      <c r="C22" s="4" t="s">
        <v>113</v>
      </c>
      <c r="D22" s="4"/>
      <c r="E22" s="4" t="s">
        <v>77</v>
      </c>
      <c r="F22" s="7">
        <v>1</v>
      </c>
      <c r="G22" s="7">
        <v>3</v>
      </c>
      <c r="H22" s="7">
        <v>0</v>
      </c>
      <c r="I22" s="7">
        <v>0</v>
      </c>
      <c r="J22" s="7">
        <v>1</v>
      </c>
      <c r="K22" s="7">
        <v>2</v>
      </c>
      <c r="L22" s="7">
        <v>4</v>
      </c>
      <c r="M22" s="7">
        <v>3</v>
      </c>
      <c r="N22" s="7">
        <v>0</v>
      </c>
      <c r="O22" s="7">
        <v>6</v>
      </c>
      <c r="P22" s="7">
        <v>3</v>
      </c>
      <c r="Q22" s="7">
        <v>4</v>
      </c>
      <c r="R22" s="8">
        <f t="shared" si="0"/>
        <v>1</v>
      </c>
      <c r="S22" s="8">
        <f t="shared" si="1"/>
        <v>3</v>
      </c>
      <c r="T22" s="8">
        <f t="shared" si="2"/>
        <v>3</v>
      </c>
      <c r="U22" s="11">
        <f t="shared" si="4"/>
        <v>0.33333333333333331</v>
      </c>
      <c r="V22" s="11">
        <f t="shared" si="3"/>
        <v>0.5</v>
      </c>
    </row>
    <row r="23" spans="1:22" ht="15" customHeight="1">
      <c r="A23" s="4">
        <v>3</v>
      </c>
      <c r="B23" s="15">
        <v>46237</v>
      </c>
      <c r="C23" s="4" t="s">
        <v>113</v>
      </c>
      <c r="D23" s="4"/>
      <c r="E23" s="4" t="s">
        <v>78</v>
      </c>
      <c r="F23" s="7">
        <v>0</v>
      </c>
      <c r="G23" s="7">
        <v>0</v>
      </c>
      <c r="H23" s="7">
        <v>0</v>
      </c>
      <c r="I23" s="7">
        <v>1</v>
      </c>
      <c r="J23" s="7">
        <v>0</v>
      </c>
      <c r="K23" s="7">
        <v>0</v>
      </c>
      <c r="L23" s="7">
        <v>3</v>
      </c>
      <c r="M23" s="7">
        <v>0</v>
      </c>
      <c r="N23" s="7">
        <v>0</v>
      </c>
      <c r="O23" s="7">
        <v>3</v>
      </c>
      <c r="P23" s="7">
        <v>0</v>
      </c>
      <c r="Q23" s="7">
        <v>0</v>
      </c>
      <c r="R23" s="8">
        <f t="shared" si="0"/>
        <v>0</v>
      </c>
      <c r="S23" s="8">
        <f t="shared" si="1"/>
        <v>1</v>
      </c>
      <c r="T23" s="8" t="str">
        <f t="shared" si="2"/>
        <v/>
      </c>
      <c r="U23" s="11">
        <f t="shared" si="4"/>
        <v>0</v>
      </c>
      <c r="V23" s="11" t="str">
        <f t="shared" si="3"/>
        <v/>
      </c>
    </row>
    <row r="24" spans="1:22" ht="15" customHeight="1">
      <c r="A24" s="4">
        <v>3</v>
      </c>
      <c r="B24" s="15">
        <v>46237</v>
      </c>
      <c r="C24" s="4" t="s">
        <v>113</v>
      </c>
      <c r="D24" s="4"/>
      <c r="E24" s="4" t="s">
        <v>74</v>
      </c>
      <c r="F24" s="7">
        <v>0</v>
      </c>
      <c r="G24" s="7">
        <v>1</v>
      </c>
      <c r="H24" s="7">
        <v>0</v>
      </c>
      <c r="I24" s="7">
        <v>3</v>
      </c>
      <c r="J24" s="7">
        <v>0</v>
      </c>
      <c r="K24" s="7">
        <v>0</v>
      </c>
      <c r="L24" s="7">
        <v>3</v>
      </c>
      <c r="M24" s="7">
        <v>2</v>
      </c>
      <c r="N24" s="7">
        <v>1</v>
      </c>
      <c r="O24" s="7">
        <v>2</v>
      </c>
      <c r="P24" s="7">
        <v>1</v>
      </c>
      <c r="Q24" s="7">
        <v>0</v>
      </c>
      <c r="R24" s="8">
        <f t="shared" si="0"/>
        <v>0</v>
      </c>
      <c r="S24" s="8">
        <f t="shared" si="1"/>
        <v>4</v>
      </c>
      <c r="T24" s="8" t="str">
        <f t="shared" si="2"/>
        <v/>
      </c>
      <c r="U24" s="11">
        <f t="shared" si="4"/>
        <v>0</v>
      </c>
      <c r="V24" s="11" t="str">
        <f t="shared" si="3"/>
        <v/>
      </c>
    </row>
    <row r="25" spans="1:22" ht="15" customHeight="1">
      <c r="A25" s="4">
        <v>3</v>
      </c>
      <c r="B25" s="15">
        <v>46237</v>
      </c>
      <c r="C25" s="4" t="s">
        <v>113</v>
      </c>
      <c r="D25" s="4"/>
      <c r="E25" s="4" t="s">
        <v>80</v>
      </c>
      <c r="F25" s="7">
        <v>0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</v>
      </c>
      <c r="S25" s="8">
        <f t="shared" si="1"/>
        <v>1</v>
      </c>
      <c r="T25" s="8" t="str">
        <f t="shared" si="2"/>
        <v/>
      </c>
      <c r="U25" s="11">
        <f t="shared" si="4"/>
        <v>0</v>
      </c>
      <c r="V25" s="11" t="str">
        <f t="shared" si="3"/>
        <v/>
      </c>
    </row>
    <row r="26" spans="1:22" ht="15" customHeight="1">
      <c r="A26" s="4">
        <v>3</v>
      </c>
      <c r="B26" s="15">
        <v>46237</v>
      </c>
      <c r="C26" s="4" t="s">
        <v>113</v>
      </c>
      <c r="D26" s="4"/>
      <c r="E26" s="4" t="s">
        <v>81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8">
        <f t="shared" si="0"/>
        <v>0</v>
      </c>
      <c r="S26" s="8" t="str">
        <f t="shared" si="1"/>
        <v/>
      </c>
      <c r="T26" s="8" t="str">
        <f t="shared" si="2"/>
        <v/>
      </c>
      <c r="U26" s="11" t="str">
        <f t="shared" si="4"/>
        <v/>
      </c>
      <c r="V26" s="11" t="str">
        <f t="shared" si="3"/>
        <v/>
      </c>
    </row>
    <row r="27" spans="1:22" ht="15" customHeight="1">
      <c r="A27" s="4">
        <v>3</v>
      </c>
      <c r="B27" s="15">
        <v>46237</v>
      </c>
      <c r="C27" s="4" t="s">
        <v>113</v>
      </c>
      <c r="D27" s="4"/>
      <c r="E27" s="4" t="s">
        <v>82</v>
      </c>
      <c r="F27" s="7">
        <v>0</v>
      </c>
      <c r="G27" s="7">
        <v>2</v>
      </c>
      <c r="H27" s="7">
        <v>0</v>
      </c>
      <c r="I27" s="7">
        <v>2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</v>
      </c>
      <c r="S27" s="8">
        <f t="shared" si="1"/>
        <v>4</v>
      </c>
      <c r="T27" s="8" t="str">
        <f t="shared" si="2"/>
        <v/>
      </c>
      <c r="U27" s="11">
        <f t="shared" si="4"/>
        <v>0</v>
      </c>
      <c r="V27" s="11" t="str">
        <f t="shared" si="3"/>
        <v/>
      </c>
    </row>
    <row r="28" spans="1:22" ht="15" customHeight="1">
      <c r="A28" s="4">
        <v>3</v>
      </c>
      <c r="B28" s="15">
        <v>46237</v>
      </c>
      <c r="C28" s="4" t="s">
        <v>113</v>
      </c>
      <c r="D28" s="4"/>
      <c r="E28" s="4" t="s">
        <v>85</v>
      </c>
      <c r="F28" s="7">
        <v>2</v>
      </c>
      <c r="G28" s="7">
        <v>6</v>
      </c>
      <c r="H28" s="7">
        <v>4</v>
      </c>
      <c r="I28" s="7">
        <v>6</v>
      </c>
      <c r="J28" s="7">
        <v>2</v>
      </c>
      <c r="K28" s="7">
        <v>2</v>
      </c>
      <c r="L28" s="7">
        <v>4</v>
      </c>
      <c r="M28" s="7">
        <v>1</v>
      </c>
      <c r="N28" s="7">
        <v>1</v>
      </c>
      <c r="O28" s="7">
        <v>3</v>
      </c>
      <c r="P28" s="7">
        <v>0</v>
      </c>
      <c r="Q28" s="7">
        <v>1</v>
      </c>
      <c r="R28" s="8">
        <f t="shared" si="0"/>
        <v>6</v>
      </c>
      <c r="S28" s="8">
        <f t="shared" si="1"/>
        <v>12</v>
      </c>
      <c r="T28" s="8">
        <f t="shared" si="2"/>
        <v>18</v>
      </c>
      <c r="U28" s="11">
        <f t="shared" si="4"/>
        <v>0.5</v>
      </c>
      <c r="V28" s="11">
        <f t="shared" si="3"/>
        <v>1</v>
      </c>
    </row>
    <row r="29" spans="1:22" ht="15" customHeight="1">
      <c r="A29" s="4">
        <v>3</v>
      </c>
      <c r="B29" s="15">
        <v>46237</v>
      </c>
      <c r="C29" s="4" t="s">
        <v>113</v>
      </c>
      <c r="D29" s="4"/>
      <c r="E29" s="4" t="s">
        <v>86</v>
      </c>
      <c r="F29" s="7">
        <v>3</v>
      </c>
      <c r="G29" s="7">
        <v>5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0</v>
      </c>
      <c r="N29" s="7">
        <v>0</v>
      </c>
      <c r="O29" s="7">
        <v>0</v>
      </c>
      <c r="P29" s="7">
        <v>1</v>
      </c>
      <c r="Q29" s="7">
        <v>1</v>
      </c>
      <c r="R29" s="8">
        <f t="shared" si="0"/>
        <v>3</v>
      </c>
      <c r="S29" s="8">
        <f t="shared" si="1"/>
        <v>5</v>
      </c>
      <c r="T29" s="8">
        <f t="shared" si="2"/>
        <v>6</v>
      </c>
      <c r="U29" s="11">
        <f t="shared" si="4"/>
        <v>0.6</v>
      </c>
      <c r="V29" s="11" t="str">
        <f t="shared" si="3"/>
        <v/>
      </c>
    </row>
    <row r="30" spans="1:22" ht="15" customHeight="1">
      <c r="A30" s="4">
        <v>3</v>
      </c>
      <c r="B30" s="15">
        <v>46237</v>
      </c>
      <c r="C30" s="4" t="s">
        <v>113</v>
      </c>
      <c r="D30" s="4"/>
      <c r="E30" s="4" t="s">
        <v>102</v>
      </c>
      <c r="F30" s="7">
        <v>0</v>
      </c>
      <c r="G30" s="7">
        <v>1</v>
      </c>
      <c r="H30" s="7">
        <v>0</v>
      </c>
      <c r="I30" s="7">
        <v>1</v>
      </c>
      <c r="J30" s="7">
        <v>0</v>
      </c>
      <c r="K30" s="7">
        <v>0</v>
      </c>
      <c r="L30" s="7">
        <v>4</v>
      </c>
      <c r="M30" s="7">
        <v>0</v>
      </c>
      <c r="N30" s="7">
        <v>0</v>
      </c>
      <c r="O30" s="7">
        <v>1</v>
      </c>
      <c r="P30" s="7">
        <v>0</v>
      </c>
      <c r="Q30" s="7">
        <v>0</v>
      </c>
      <c r="R30" s="8">
        <f t="shared" si="0"/>
        <v>0</v>
      </c>
      <c r="S30" s="8">
        <f t="shared" si="1"/>
        <v>2</v>
      </c>
      <c r="T30" s="8" t="str">
        <f t="shared" si="2"/>
        <v/>
      </c>
      <c r="U30" s="11">
        <f t="shared" si="4"/>
        <v>0</v>
      </c>
      <c r="V30" s="11" t="str">
        <f t="shared" si="3"/>
        <v/>
      </c>
    </row>
    <row r="31" spans="1:22" ht="15" customHeight="1">
      <c r="A31" s="4">
        <v>3</v>
      </c>
      <c r="B31" s="15">
        <v>46237</v>
      </c>
      <c r="C31" s="4" t="s">
        <v>113</v>
      </c>
      <c r="D31" s="4"/>
      <c r="E31" s="4" t="s">
        <v>103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  <c r="M31" s="7">
        <v>1</v>
      </c>
      <c r="N31" s="7">
        <v>0</v>
      </c>
      <c r="O31" s="7">
        <v>0</v>
      </c>
      <c r="P31" s="7">
        <v>0</v>
      </c>
      <c r="Q31" s="7">
        <v>0</v>
      </c>
      <c r="R31" s="8">
        <f t="shared" si="0"/>
        <v>0</v>
      </c>
      <c r="S31" s="8">
        <f t="shared" si="1"/>
        <v>1</v>
      </c>
      <c r="T31" s="8" t="str">
        <f t="shared" si="2"/>
        <v/>
      </c>
      <c r="U31" s="11">
        <f t="shared" si="4"/>
        <v>0</v>
      </c>
      <c r="V31" s="11" t="str">
        <f t="shared" si="3"/>
        <v/>
      </c>
    </row>
    <row r="32" spans="1:22" ht="15" customHeight="1">
      <c r="A32" s="4">
        <v>3</v>
      </c>
      <c r="B32" s="15">
        <v>46237</v>
      </c>
      <c r="C32" s="4" t="s">
        <v>113</v>
      </c>
      <c r="D32" s="4"/>
      <c r="E32" s="4" t="s">
        <v>117</v>
      </c>
      <c r="F32" s="7">
        <v>1</v>
      </c>
      <c r="G32" s="7">
        <v>4</v>
      </c>
      <c r="H32" s="7">
        <v>0</v>
      </c>
      <c r="I32" s="7">
        <v>1</v>
      </c>
      <c r="J32" s="7">
        <v>1</v>
      </c>
      <c r="K32" s="7">
        <v>3</v>
      </c>
      <c r="L32" s="7">
        <v>9</v>
      </c>
      <c r="M32" s="7">
        <v>3</v>
      </c>
      <c r="N32" s="7">
        <v>1</v>
      </c>
      <c r="O32" s="7">
        <v>1</v>
      </c>
      <c r="P32" s="7">
        <v>0</v>
      </c>
      <c r="Q32" s="7">
        <v>0</v>
      </c>
      <c r="R32" s="8">
        <f t="shared" si="0"/>
        <v>1</v>
      </c>
      <c r="S32" s="8">
        <f t="shared" si="1"/>
        <v>5</v>
      </c>
      <c r="T32" s="8">
        <f t="shared" si="2"/>
        <v>3</v>
      </c>
      <c r="U32" s="11">
        <f t="shared" si="4"/>
        <v>0.2</v>
      </c>
      <c r="V32" s="11">
        <f t="shared" si="3"/>
        <v>0.33333333333333331</v>
      </c>
    </row>
    <row r="33" spans="1:22" ht="15" customHeight="1">
      <c r="A33" s="4"/>
      <c r="B33" s="15"/>
      <c r="C33" s="4"/>
      <c r="D33" s="4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 t="str">
        <f>IF(AND(F33="",H33=""),"",IF(SUM(F33,H33)=0,0,F33+H33))</f>
        <v/>
      </c>
      <c r="S33" s="8" t="str">
        <f t="shared" si="1"/>
        <v/>
      </c>
      <c r="T33" s="8" t="str">
        <f t="shared" si="2"/>
        <v/>
      </c>
      <c r="U33" s="11" t="str">
        <f t="shared" si="4"/>
        <v/>
      </c>
      <c r="V33" s="11" t="str">
        <f t="shared" si="3"/>
        <v/>
      </c>
    </row>
    <row r="34" spans="1:22" ht="15" customHeight="1">
      <c r="A34" s="4"/>
      <c r="B34" s="15"/>
      <c r="C34" s="4"/>
      <c r="D34" s="4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 t="str">
        <f t="shared" ref="R34:R97" si="5">IF(AND(F34="",H34=""),"",IF(SUM(F34,H34)=0,0,F34+H34))</f>
        <v/>
      </c>
      <c r="S34" s="8" t="str">
        <f t="shared" si="1"/>
        <v/>
      </c>
      <c r="T34" s="8" t="str">
        <f t="shared" si="2"/>
        <v/>
      </c>
      <c r="U34" s="11" t="str">
        <f t="shared" si="4"/>
        <v/>
      </c>
      <c r="V34" s="11" t="str">
        <f t="shared" si="3"/>
        <v/>
      </c>
    </row>
    <row r="35" spans="1:22" ht="15" customHeight="1">
      <c r="A35" s="4"/>
      <c r="B35" s="15"/>
      <c r="C35" s="4"/>
      <c r="D35" s="4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 t="str">
        <f t="shared" si="5"/>
        <v/>
      </c>
      <c r="S35" s="8" t="str">
        <f t="shared" si="1"/>
        <v/>
      </c>
      <c r="T35" s="8" t="str">
        <f t="shared" si="2"/>
        <v/>
      </c>
      <c r="U35" s="11" t="str">
        <f t="shared" si="4"/>
        <v/>
      </c>
      <c r="V35" s="11" t="str">
        <f t="shared" si="3"/>
        <v/>
      </c>
    </row>
    <row r="36" spans="1:22" ht="15" customHeight="1">
      <c r="A36" s="4"/>
      <c r="B36" s="15"/>
      <c r="C36" s="4"/>
      <c r="D36" s="4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8" t="str">
        <f t="shared" si="5"/>
        <v/>
      </c>
      <c r="S36" s="8" t="str">
        <f t="shared" si="1"/>
        <v/>
      </c>
      <c r="T36" s="8" t="str">
        <f t="shared" si="2"/>
        <v/>
      </c>
      <c r="U36" s="11" t="str">
        <f t="shared" si="4"/>
        <v/>
      </c>
      <c r="V36" s="11" t="str">
        <f t="shared" si="3"/>
        <v/>
      </c>
    </row>
    <row r="37" spans="1:22" ht="15" customHeight="1">
      <c r="A37" s="4"/>
      <c r="B37" s="15"/>
      <c r="C37" s="4"/>
      <c r="D37" s="4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 t="str">
        <f t="shared" si="5"/>
        <v/>
      </c>
      <c r="S37" s="8" t="str">
        <f t="shared" si="1"/>
        <v/>
      </c>
      <c r="T37" s="8" t="str">
        <f t="shared" si="2"/>
        <v/>
      </c>
      <c r="U37" s="11" t="str">
        <f t="shared" si="4"/>
        <v/>
      </c>
      <c r="V37" s="11" t="str">
        <f t="shared" si="3"/>
        <v/>
      </c>
    </row>
    <row r="38" spans="1:22" ht="15" customHeight="1">
      <c r="A38" s="4"/>
      <c r="B38" s="15"/>
      <c r="C38" s="4"/>
      <c r="D38" s="4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8" t="str">
        <f t="shared" si="5"/>
        <v/>
      </c>
      <c r="S38" s="8" t="str">
        <f t="shared" si="1"/>
        <v/>
      </c>
      <c r="T38" s="8" t="str">
        <f t="shared" si="2"/>
        <v/>
      </c>
      <c r="U38" s="11" t="str">
        <f t="shared" si="4"/>
        <v/>
      </c>
      <c r="V38" s="11" t="str">
        <f t="shared" si="3"/>
        <v/>
      </c>
    </row>
    <row r="39" spans="1:22" ht="15" customHeight="1">
      <c r="A39" s="4"/>
      <c r="B39" s="15"/>
      <c r="C39" s="4"/>
      <c r="D39" s="4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 t="str">
        <f t="shared" si="5"/>
        <v/>
      </c>
      <c r="S39" s="8" t="str">
        <f t="shared" si="1"/>
        <v/>
      </c>
      <c r="T39" s="8" t="str">
        <f t="shared" si="2"/>
        <v/>
      </c>
      <c r="U39" s="11" t="str">
        <f t="shared" si="4"/>
        <v/>
      </c>
      <c r="V39" s="11" t="str">
        <f t="shared" si="3"/>
        <v/>
      </c>
    </row>
    <row r="40" spans="1:22" ht="15" customHeight="1">
      <c r="A40" s="4"/>
      <c r="B40" s="15"/>
      <c r="C40" s="4"/>
      <c r="D40" s="4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8" t="str">
        <f t="shared" si="5"/>
        <v/>
      </c>
      <c r="S40" s="8" t="str">
        <f t="shared" si="1"/>
        <v/>
      </c>
      <c r="T40" s="8" t="str">
        <f t="shared" si="2"/>
        <v/>
      </c>
      <c r="U40" s="11" t="str">
        <f t="shared" si="4"/>
        <v/>
      </c>
      <c r="V40" s="11" t="str">
        <f t="shared" si="3"/>
        <v/>
      </c>
    </row>
    <row r="41" spans="1:22" ht="15" customHeight="1">
      <c r="A41" s="4"/>
      <c r="B41" s="15"/>
      <c r="C41" s="4"/>
      <c r="D41" s="4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 t="str">
        <f t="shared" si="5"/>
        <v/>
      </c>
      <c r="S41" s="8" t="str">
        <f t="shared" si="1"/>
        <v/>
      </c>
      <c r="T41" s="8" t="str">
        <f t="shared" si="2"/>
        <v/>
      </c>
      <c r="U41" s="11" t="str">
        <f t="shared" si="4"/>
        <v/>
      </c>
      <c r="V41" s="11" t="str">
        <f t="shared" si="3"/>
        <v/>
      </c>
    </row>
    <row r="42" spans="1:22" ht="15" customHeight="1">
      <c r="A42" s="4"/>
      <c r="B42" s="15"/>
      <c r="C42" s="4"/>
      <c r="D42" s="4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 t="str">
        <f t="shared" si="5"/>
        <v/>
      </c>
      <c r="S42" s="8" t="str">
        <f t="shared" si="1"/>
        <v/>
      </c>
      <c r="T42" s="8" t="str">
        <f t="shared" si="2"/>
        <v/>
      </c>
      <c r="U42" s="11" t="str">
        <f t="shared" si="4"/>
        <v/>
      </c>
      <c r="V42" s="11" t="str">
        <f t="shared" si="3"/>
        <v/>
      </c>
    </row>
    <row r="43" spans="1:22" ht="15" customHeight="1">
      <c r="A43" s="4"/>
      <c r="B43" s="15"/>
      <c r="C43" s="4"/>
      <c r="D43" s="4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 t="str">
        <f t="shared" si="5"/>
        <v/>
      </c>
      <c r="S43" s="8" t="str">
        <f t="shared" si="1"/>
        <v/>
      </c>
      <c r="T43" s="8" t="str">
        <f t="shared" si="2"/>
        <v/>
      </c>
      <c r="U43" s="11" t="str">
        <f t="shared" si="4"/>
        <v/>
      </c>
      <c r="V43" s="11" t="str">
        <f t="shared" si="3"/>
        <v/>
      </c>
    </row>
    <row r="44" spans="1:22" ht="15" customHeight="1">
      <c r="A44" s="4"/>
      <c r="B44" s="15"/>
      <c r="C44" s="4"/>
      <c r="D44" s="4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 t="str">
        <f t="shared" si="5"/>
        <v/>
      </c>
      <c r="S44" s="8" t="str">
        <f t="shared" si="1"/>
        <v/>
      </c>
      <c r="T44" s="8" t="str">
        <f t="shared" si="2"/>
        <v/>
      </c>
      <c r="U44" s="11" t="str">
        <f t="shared" si="4"/>
        <v/>
      </c>
      <c r="V44" s="11" t="str">
        <f t="shared" si="3"/>
        <v/>
      </c>
    </row>
    <row r="45" spans="1:22" ht="15" customHeight="1">
      <c r="A45" s="4"/>
      <c r="B45" s="15"/>
      <c r="C45" s="4"/>
      <c r="D45" s="4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 t="str">
        <f t="shared" si="5"/>
        <v/>
      </c>
      <c r="S45" s="8" t="str">
        <f t="shared" si="1"/>
        <v/>
      </c>
      <c r="T45" s="8" t="str">
        <f t="shared" si="2"/>
        <v/>
      </c>
      <c r="U45" s="11" t="str">
        <f t="shared" si="4"/>
        <v/>
      </c>
      <c r="V45" s="11" t="str">
        <f t="shared" si="3"/>
        <v/>
      </c>
    </row>
    <row r="46" spans="1:22" ht="15" customHeight="1">
      <c r="A46" s="4"/>
      <c r="B46" s="15"/>
      <c r="C46" s="4"/>
      <c r="D46" s="4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 t="str">
        <f t="shared" si="5"/>
        <v/>
      </c>
      <c r="S46" s="8" t="str">
        <f t="shared" si="1"/>
        <v/>
      </c>
      <c r="T46" s="8" t="str">
        <f t="shared" si="2"/>
        <v/>
      </c>
      <c r="U46" s="11" t="str">
        <f t="shared" si="4"/>
        <v/>
      </c>
      <c r="V46" s="11" t="str">
        <f t="shared" si="3"/>
        <v/>
      </c>
    </row>
    <row r="47" spans="1:22" ht="15" customHeight="1">
      <c r="A47" s="4"/>
      <c r="B47" s="15"/>
      <c r="C47" s="4"/>
      <c r="D47" s="4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 t="str">
        <f t="shared" si="5"/>
        <v/>
      </c>
      <c r="S47" s="8" t="str">
        <f t="shared" si="1"/>
        <v/>
      </c>
      <c r="T47" s="8" t="str">
        <f t="shared" si="2"/>
        <v/>
      </c>
      <c r="U47" s="11" t="str">
        <f t="shared" si="4"/>
        <v/>
      </c>
      <c r="V47" s="11" t="str">
        <f t="shared" si="3"/>
        <v/>
      </c>
    </row>
    <row r="48" spans="1:22" ht="15" customHeight="1">
      <c r="A48" s="4"/>
      <c r="B48" s="15"/>
      <c r="C48" s="4"/>
      <c r="D48" s="4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 t="str">
        <f t="shared" si="5"/>
        <v/>
      </c>
      <c r="S48" s="8" t="str">
        <f t="shared" si="1"/>
        <v/>
      </c>
      <c r="T48" s="8" t="str">
        <f t="shared" si="2"/>
        <v/>
      </c>
      <c r="U48" s="11" t="str">
        <f t="shared" si="4"/>
        <v/>
      </c>
      <c r="V48" s="11" t="str">
        <f t="shared" si="3"/>
        <v/>
      </c>
    </row>
    <row r="49" spans="1:22" ht="15" customHeight="1">
      <c r="A49" s="4"/>
      <c r="B49" s="15"/>
      <c r="C49" s="4"/>
      <c r="D49" s="4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 t="str">
        <f t="shared" si="5"/>
        <v/>
      </c>
      <c r="S49" s="8" t="str">
        <f t="shared" si="1"/>
        <v/>
      </c>
      <c r="T49" s="8" t="str">
        <f t="shared" si="2"/>
        <v/>
      </c>
      <c r="U49" s="11" t="str">
        <f t="shared" si="4"/>
        <v/>
      </c>
      <c r="V49" s="11" t="str">
        <f t="shared" si="3"/>
        <v/>
      </c>
    </row>
    <row r="50" spans="1:22" ht="15" customHeight="1">
      <c r="A50" s="4"/>
      <c r="B50" s="15"/>
      <c r="C50" s="4"/>
      <c r="D50" s="4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 t="str">
        <f t="shared" si="5"/>
        <v/>
      </c>
      <c r="S50" s="8" t="str">
        <f t="shared" si="1"/>
        <v/>
      </c>
      <c r="T50" s="8" t="str">
        <f t="shared" si="2"/>
        <v/>
      </c>
      <c r="U50" s="11" t="str">
        <f t="shared" si="4"/>
        <v/>
      </c>
      <c r="V50" s="11" t="str">
        <f t="shared" si="3"/>
        <v/>
      </c>
    </row>
    <row r="51" spans="1:22" ht="15" customHeight="1">
      <c r="A51" s="4"/>
      <c r="B51" s="15"/>
      <c r="C51" s="4"/>
      <c r="D51" s="4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 t="str">
        <f t="shared" si="5"/>
        <v/>
      </c>
      <c r="S51" s="8" t="str">
        <f t="shared" si="1"/>
        <v/>
      </c>
      <c r="T51" s="8" t="str">
        <f t="shared" si="2"/>
        <v/>
      </c>
      <c r="U51" s="11" t="str">
        <f t="shared" si="4"/>
        <v/>
      </c>
      <c r="V51" s="11" t="str">
        <f t="shared" si="3"/>
        <v/>
      </c>
    </row>
    <row r="52" spans="1:22" ht="15" customHeight="1">
      <c r="A52" s="4"/>
      <c r="B52" s="15"/>
      <c r="C52" s="4"/>
      <c r="D52" s="4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8" t="str">
        <f t="shared" si="5"/>
        <v/>
      </c>
      <c r="S52" s="8" t="str">
        <f t="shared" si="1"/>
        <v/>
      </c>
      <c r="T52" s="8" t="str">
        <f t="shared" si="2"/>
        <v/>
      </c>
      <c r="U52" s="11" t="str">
        <f t="shared" si="4"/>
        <v/>
      </c>
      <c r="V52" s="11" t="str">
        <f t="shared" si="3"/>
        <v/>
      </c>
    </row>
    <row r="53" spans="1:22" ht="15" customHeight="1">
      <c r="A53" s="4"/>
      <c r="B53" s="15"/>
      <c r="C53" s="4"/>
      <c r="D53" s="4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 t="str">
        <f t="shared" si="5"/>
        <v/>
      </c>
      <c r="S53" s="8" t="str">
        <f t="shared" si="1"/>
        <v/>
      </c>
      <c r="T53" s="8" t="str">
        <f t="shared" si="2"/>
        <v/>
      </c>
      <c r="U53" s="11" t="str">
        <f t="shared" si="4"/>
        <v/>
      </c>
      <c r="V53" s="11" t="str">
        <f t="shared" si="3"/>
        <v/>
      </c>
    </row>
    <row r="54" spans="1:22" ht="15" customHeight="1">
      <c r="A54" s="4"/>
      <c r="B54" s="15"/>
      <c r="C54" s="4"/>
      <c r="D54" s="4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8" t="str">
        <f t="shared" si="5"/>
        <v/>
      </c>
      <c r="S54" s="8" t="str">
        <f t="shared" si="1"/>
        <v/>
      </c>
      <c r="T54" s="8" t="str">
        <f t="shared" si="2"/>
        <v/>
      </c>
      <c r="U54" s="11" t="str">
        <f t="shared" si="4"/>
        <v/>
      </c>
      <c r="V54" s="11" t="str">
        <f t="shared" si="3"/>
        <v/>
      </c>
    </row>
    <row r="55" spans="1:22" ht="15" customHeight="1">
      <c r="A55" s="4"/>
      <c r="B55" s="15"/>
      <c r="C55" s="4"/>
      <c r="D55" s="4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 t="str">
        <f t="shared" si="5"/>
        <v/>
      </c>
      <c r="S55" s="8" t="str">
        <f t="shared" si="1"/>
        <v/>
      </c>
      <c r="T55" s="8" t="str">
        <f t="shared" si="2"/>
        <v/>
      </c>
      <c r="U55" s="11" t="str">
        <f t="shared" si="4"/>
        <v/>
      </c>
      <c r="V55" s="11" t="str">
        <f t="shared" si="3"/>
        <v/>
      </c>
    </row>
    <row r="56" spans="1:22" ht="15" customHeight="1">
      <c r="A56" s="4"/>
      <c r="B56" s="15"/>
      <c r="C56" s="4"/>
      <c r="D56" s="4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 t="str">
        <f t="shared" si="5"/>
        <v/>
      </c>
      <c r="S56" s="8" t="str">
        <f t="shared" si="1"/>
        <v/>
      </c>
      <c r="T56" s="8" t="str">
        <f t="shared" si="2"/>
        <v/>
      </c>
      <c r="U56" s="11" t="str">
        <f t="shared" si="4"/>
        <v/>
      </c>
      <c r="V56" s="11" t="str">
        <f t="shared" si="3"/>
        <v/>
      </c>
    </row>
    <row r="57" spans="1:22" ht="15" customHeight="1">
      <c r="A57" s="4"/>
      <c r="B57" s="15"/>
      <c r="C57" s="4"/>
      <c r="D57" s="4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 t="str">
        <f t="shared" si="5"/>
        <v/>
      </c>
      <c r="S57" s="8" t="str">
        <f t="shared" si="1"/>
        <v/>
      </c>
      <c r="T57" s="8" t="str">
        <f t="shared" si="2"/>
        <v/>
      </c>
      <c r="U57" s="11" t="str">
        <f t="shared" si="4"/>
        <v/>
      </c>
      <c r="V57" s="11" t="str">
        <f t="shared" si="3"/>
        <v/>
      </c>
    </row>
    <row r="58" spans="1:22" ht="15" customHeight="1">
      <c r="A58" s="4"/>
      <c r="B58" s="15"/>
      <c r="C58" s="4"/>
      <c r="D58" s="4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 t="str">
        <f t="shared" si="5"/>
        <v/>
      </c>
      <c r="S58" s="8" t="str">
        <f t="shared" si="1"/>
        <v/>
      </c>
      <c r="T58" s="8" t="str">
        <f t="shared" si="2"/>
        <v/>
      </c>
      <c r="U58" s="11" t="str">
        <f t="shared" si="4"/>
        <v/>
      </c>
      <c r="V58" s="11" t="str">
        <f t="shared" si="3"/>
        <v/>
      </c>
    </row>
    <row r="59" spans="1:22" ht="15" customHeight="1">
      <c r="A59" s="4"/>
      <c r="B59" s="15"/>
      <c r="C59" s="4"/>
      <c r="D59" s="4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 t="str">
        <f t="shared" si="5"/>
        <v/>
      </c>
      <c r="S59" s="8" t="str">
        <f t="shared" si="1"/>
        <v/>
      </c>
      <c r="T59" s="8" t="str">
        <f t="shared" si="2"/>
        <v/>
      </c>
      <c r="U59" s="11" t="str">
        <f t="shared" si="4"/>
        <v/>
      </c>
      <c r="V59" s="11" t="str">
        <f t="shared" si="3"/>
        <v/>
      </c>
    </row>
    <row r="60" spans="1:22" ht="15" customHeight="1">
      <c r="A60" s="4"/>
      <c r="B60" s="15"/>
      <c r="C60" s="4"/>
      <c r="D60" s="4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 t="str">
        <f t="shared" si="5"/>
        <v/>
      </c>
      <c r="S60" s="8" t="str">
        <f t="shared" si="1"/>
        <v/>
      </c>
      <c r="T60" s="8" t="str">
        <f t="shared" si="2"/>
        <v/>
      </c>
      <c r="U60" s="11" t="str">
        <f t="shared" si="4"/>
        <v/>
      </c>
      <c r="V60" s="11" t="str">
        <f t="shared" si="3"/>
        <v/>
      </c>
    </row>
    <row r="61" spans="1:22" ht="15" customHeight="1">
      <c r="A61" s="4"/>
      <c r="B61" s="15"/>
      <c r="C61" s="4"/>
      <c r="D61" s="4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 t="str">
        <f t="shared" si="5"/>
        <v/>
      </c>
      <c r="S61" s="8" t="str">
        <f t="shared" si="1"/>
        <v/>
      </c>
      <c r="T61" s="8" t="str">
        <f t="shared" si="2"/>
        <v/>
      </c>
      <c r="U61" s="11" t="str">
        <f t="shared" si="4"/>
        <v/>
      </c>
      <c r="V61" s="11" t="str">
        <f t="shared" si="3"/>
        <v/>
      </c>
    </row>
    <row r="62" spans="1:22" ht="15" customHeight="1">
      <c r="A62" s="4"/>
      <c r="B62" s="15"/>
      <c r="C62" s="4"/>
      <c r="D62" s="4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 t="str">
        <f t="shared" si="5"/>
        <v/>
      </c>
      <c r="S62" s="8" t="str">
        <f t="shared" si="1"/>
        <v/>
      </c>
      <c r="T62" s="8" t="str">
        <f t="shared" si="2"/>
        <v/>
      </c>
      <c r="U62" s="11" t="str">
        <f t="shared" si="4"/>
        <v/>
      </c>
      <c r="V62" s="11" t="str">
        <f t="shared" si="3"/>
        <v/>
      </c>
    </row>
    <row r="63" spans="1:22" ht="15" customHeight="1">
      <c r="A63" s="4"/>
      <c r="B63" s="15"/>
      <c r="C63" s="4"/>
      <c r="D63" s="4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 t="str">
        <f t="shared" si="5"/>
        <v/>
      </c>
      <c r="S63" s="8" t="str">
        <f t="shared" si="1"/>
        <v/>
      </c>
      <c r="T63" s="8" t="str">
        <f t="shared" si="2"/>
        <v/>
      </c>
      <c r="U63" s="11" t="str">
        <f t="shared" si="4"/>
        <v/>
      </c>
      <c r="V63" s="11" t="str">
        <f t="shared" si="3"/>
        <v/>
      </c>
    </row>
    <row r="64" spans="1:22" ht="15" customHeight="1">
      <c r="A64" s="4"/>
      <c r="B64" s="15"/>
      <c r="C64" s="4"/>
      <c r="D64" s="4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 t="str">
        <f t="shared" si="5"/>
        <v/>
      </c>
      <c r="S64" s="8" t="str">
        <f t="shared" si="1"/>
        <v/>
      </c>
      <c r="T64" s="8" t="str">
        <f t="shared" si="2"/>
        <v/>
      </c>
      <c r="U64" s="11" t="str">
        <f t="shared" si="4"/>
        <v/>
      </c>
      <c r="V64" s="11" t="str">
        <f t="shared" si="3"/>
        <v/>
      </c>
    </row>
    <row r="65" spans="1:22" ht="15" customHeight="1">
      <c r="A65" s="4"/>
      <c r="B65" s="15"/>
      <c r="C65" s="4"/>
      <c r="D65" s="4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 t="str">
        <f t="shared" si="5"/>
        <v/>
      </c>
      <c r="S65" s="8" t="str">
        <f t="shared" si="1"/>
        <v/>
      </c>
      <c r="T65" s="8" t="str">
        <f t="shared" si="2"/>
        <v/>
      </c>
      <c r="U65" s="11" t="str">
        <f t="shared" si="4"/>
        <v/>
      </c>
      <c r="V65" s="11" t="str">
        <f t="shared" si="3"/>
        <v/>
      </c>
    </row>
    <row r="66" spans="1:22" ht="15" customHeight="1">
      <c r="A66" s="4"/>
      <c r="B66" s="15"/>
      <c r="C66" s="4"/>
      <c r="D66" s="4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8" t="str">
        <f t="shared" si="5"/>
        <v/>
      </c>
      <c r="S66" s="8" t="str">
        <f t="shared" si="1"/>
        <v/>
      </c>
      <c r="T66" s="8" t="str">
        <f t="shared" si="2"/>
        <v/>
      </c>
      <c r="U66" s="11" t="str">
        <f t="shared" si="4"/>
        <v/>
      </c>
      <c r="V66" s="11" t="str">
        <f t="shared" si="3"/>
        <v/>
      </c>
    </row>
    <row r="67" spans="1:22" ht="15" customHeight="1">
      <c r="A67" s="4"/>
      <c r="B67" s="15"/>
      <c r="C67" s="4"/>
      <c r="D67" s="4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8" t="str">
        <f t="shared" si="5"/>
        <v/>
      </c>
      <c r="S67" s="8" t="str">
        <f t="shared" si="1"/>
        <v/>
      </c>
      <c r="T67" s="8" t="str">
        <f t="shared" si="2"/>
        <v/>
      </c>
      <c r="U67" s="11" t="str">
        <f t="shared" si="4"/>
        <v/>
      </c>
      <c r="V67" s="11" t="str">
        <f t="shared" si="3"/>
        <v/>
      </c>
    </row>
    <row r="68" spans="1:22" ht="15" customHeight="1">
      <c r="A68" s="4"/>
      <c r="B68" s="15"/>
      <c r="C68" s="4"/>
      <c r="D68" s="4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8" t="str">
        <f t="shared" si="5"/>
        <v/>
      </c>
      <c r="S68" s="8" t="str">
        <f t="shared" ref="S68:S131" si="6">IF(SUM(G68,I68)=0,"",G68+I68)</f>
        <v/>
      </c>
      <c r="T68" s="8" t="str">
        <f t="shared" ref="T68:T131" si="7">IF(SUM(F68,H68,J68)=0,"",F68*2+H68*3+J68)</f>
        <v/>
      </c>
      <c r="U68" s="11" t="str">
        <f t="shared" si="4"/>
        <v/>
      </c>
      <c r="V68" s="11" t="str">
        <f t="shared" ref="V68:V131" si="8">IF(K68=0,"",J68/K68)</f>
        <v/>
      </c>
    </row>
    <row r="69" spans="1:22" ht="15" customHeight="1">
      <c r="A69" s="4"/>
      <c r="B69" s="15"/>
      <c r="C69" s="4"/>
      <c r="D69" s="4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 t="str">
        <f t="shared" si="5"/>
        <v/>
      </c>
      <c r="S69" s="8" t="str">
        <f t="shared" si="6"/>
        <v/>
      </c>
      <c r="T69" s="8" t="str">
        <f t="shared" si="7"/>
        <v/>
      </c>
      <c r="U69" s="11" t="str">
        <f t="shared" ref="U69:U132" si="9">IF(S69="","",IF(R69="",0,R69/S69))</f>
        <v/>
      </c>
      <c r="V69" s="11" t="str">
        <f t="shared" si="8"/>
        <v/>
      </c>
    </row>
    <row r="70" spans="1:22" ht="15" customHeight="1">
      <c r="A70" s="4"/>
      <c r="B70" s="15"/>
      <c r="C70" s="4"/>
      <c r="D70" s="4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 t="str">
        <f t="shared" si="5"/>
        <v/>
      </c>
      <c r="S70" s="8" t="str">
        <f t="shared" si="6"/>
        <v/>
      </c>
      <c r="T70" s="8" t="str">
        <f t="shared" si="7"/>
        <v/>
      </c>
      <c r="U70" s="11" t="str">
        <f t="shared" si="9"/>
        <v/>
      </c>
      <c r="V70" s="11" t="str">
        <f t="shared" si="8"/>
        <v/>
      </c>
    </row>
    <row r="71" spans="1:22" ht="15" customHeight="1">
      <c r="A71" s="4"/>
      <c r="B71" s="15"/>
      <c r="C71" s="4"/>
      <c r="D71" s="4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8" t="str">
        <f t="shared" si="5"/>
        <v/>
      </c>
      <c r="S71" s="8" t="str">
        <f t="shared" si="6"/>
        <v/>
      </c>
      <c r="T71" s="8" t="str">
        <f t="shared" si="7"/>
        <v/>
      </c>
      <c r="U71" s="11" t="str">
        <f t="shared" si="9"/>
        <v/>
      </c>
      <c r="V71" s="11" t="str">
        <f t="shared" si="8"/>
        <v/>
      </c>
    </row>
    <row r="72" spans="1:22" ht="15" customHeight="1">
      <c r="A72" s="4"/>
      <c r="B72" s="15"/>
      <c r="C72" s="4"/>
      <c r="D72" s="4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8" t="str">
        <f t="shared" si="5"/>
        <v/>
      </c>
      <c r="S72" s="8" t="str">
        <f t="shared" si="6"/>
        <v/>
      </c>
      <c r="T72" s="8" t="str">
        <f t="shared" si="7"/>
        <v/>
      </c>
      <c r="U72" s="11" t="str">
        <f t="shared" si="9"/>
        <v/>
      </c>
      <c r="V72" s="11" t="str">
        <f t="shared" si="8"/>
        <v/>
      </c>
    </row>
    <row r="73" spans="1:22" ht="15" customHeight="1">
      <c r="A73" s="4"/>
      <c r="B73" s="15"/>
      <c r="C73" s="4"/>
      <c r="D73" s="4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 t="str">
        <f t="shared" si="5"/>
        <v/>
      </c>
      <c r="S73" s="8" t="str">
        <f t="shared" si="6"/>
        <v/>
      </c>
      <c r="T73" s="8" t="str">
        <f t="shared" si="7"/>
        <v/>
      </c>
      <c r="U73" s="11" t="str">
        <f t="shared" si="9"/>
        <v/>
      </c>
      <c r="V73" s="11" t="str">
        <f t="shared" si="8"/>
        <v/>
      </c>
    </row>
    <row r="74" spans="1:22" ht="15" customHeight="1">
      <c r="A74" s="4"/>
      <c r="B74" s="15"/>
      <c r="C74" s="4"/>
      <c r="D74" s="4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 t="str">
        <f t="shared" si="5"/>
        <v/>
      </c>
      <c r="S74" s="8" t="str">
        <f t="shared" si="6"/>
        <v/>
      </c>
      <c r="T74" s="8" t="str">
        <f t="shared" si="7"/>
        <v/>
      </c>
      <c r="U74" s="11" t="str">
        <f t="shared" si="9"/>
        <v/>
      </c>
      <c r="V74" s="11" t="str">
        <f t="shared" si="8"/>
        <v/>
      </c>
    </row>
    <row r="75" spans="1:22" ht="15" customHeight="1">
      <c r="A75" s="4"/>
      <c r="B75" s="15"/>
      <c r="C75" s="4"/>
      <c r="D75" s="4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 t="str">
        <f t="shared" si="5"/>
        <v/>
      </c>
      <c r="S75" s="8" t="str">
        <f t="shared" si="6"/>
        <v/>
      </c>
      <c r="T75" s="8" t="str">
        <f t="shared" si="7"/>
        <v/>
      </c>
      <c r="U75" s="11" t="str">
        <f t="shared" si="9"/>
        <v/>
      </c>
      <c r="V75" s="11" t="str">
        <f t="shared" si="8"/>
        <v/>
      </c>
    </row>
    <row r="76" spans="1:22" ht="15" customHeight="1">
      <c r="A76" s="4"/>
      <c r="B76" s="15"/>
      <c r="C76" s="4"/>
      <c r="D76" s="4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 t="str">
        <f t="shared" si="5"/>
        <v/>
      </c>
      <c r="S76" s="8" t="str">
        <f t="shared" si="6"/>
        <v/>
      </c>
      <c r="T76" s="8" t="str">
        <f t="shared" si="7"/>
        <v/>
      </c>
      <c r="U76" s="11" t="str">
        <f t="shared" si="9"/>
        <v/>
      </c>
      <c r="V76" s="11" t="str">
        <f t="shared" si="8"/>
        <v/>
      </c>
    </row>
    <row r="77" spans="1:22" ht="15" customHeight="1">
      <c r="A77" s="4"/>
      <c r="B77" s="15"/>
      <c r="C77" s="4"/>
      <c r="D77" s="4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 t="str">
        <f t="shared" si="5"/>
        <v/>
      </c>
      <c r="S77" s="8" t="str">
        <f t="shared" si="6"/>
        <v/>
      </c>
      <c r="T77" s="8" t="str">
        <f t="shared" si="7"/>
        <v/>
      </c>
      <c r="U77" s="11" t="str">
        <f t="shared" si="9"/>
        <v/>
      </c>
      <c r="V77" s="11" t="str">
        <f t="shared" si="8"/>
        <v/>
      </c>
    </row>
    <row r="78" spans="1:22" ht="15" customHeight="1">
      <c r="A78" s="4"/>
      <c r="B78" s="15"/>
      <c r="C78" s="4"/>
      <c r="D78" s="4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 t="str">
        <f t="shared" si="5"/>
        <v/>
      </c>
      <c r="S78" s="8" t="str">
        <f t="shared" si="6"/>
        <v/>
      </c>
      <c r="T78" s="8" t="str">
        <f t="shared" si="7"/>
        <v/>
      </c>
      <c r="U78" s="11" t="str">
        <f t="shared" si="9"/>
        <v/>
      </c>
      <c r="V78" s="11" t="str">
        <f t="shared" si="8"/>
        <v/>
      </c>
    </row>
    <row r="79" spans="1:22" ht="15" customHeight="1">
      <c r="A79" s="4"/>
      <c r="B79" s="15"/>
      <c r="C79" s="4"/>
      <c r="D79" s="4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 t="str">
        <f t="shared" si="5"/>
        <v/>
      </c>
      <c r="S79" s="8" t="str">
        <f t="shared" si="6"/>
        <v/>
      </c>
      <c r="T79" s="8" t="str">
        <f t="shared" si="7"/>
        <v/>
      </c>
      <c r="U79" s="11" t="str">
        <f t="shared" si="9"/>
        <v/>
      </c>
      <c r="V79" s="11" t="str">
        <f t="shared" si="8"/>
        <v/>
      </c>
    </row>
    <row r="80" spans="1:22" ht="15" customHeight="1">
      <c r="A80" s="4"/>
      <c r="B80" s="15"/>
      <c r="C80" s="4"/>
      <c r="D80" s="4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 t="str">
        <f t="shared" si="5"/>
        <v/>
      </c>
      <c r="S80" s="8" t="str">
        <f t="shared" si="6"/>
        <v/>
      </c>
      <c r="T80" s="8" t="str">
        <f t="shared" si="7"/>
        <v/>
      </c>
      <c r="U80" s="11" t="str">
        <f t="shared" si="9"/>
        <v/>
      </c>
      <c r="V80" s="11" t="str">
        <f t="shared" si="8"/>
        <v/>
      </c>
    </row>
    <row r="81" spans="1:22" ht="15" customHeight="1">
      <c r="A81" s="4"/>
      <c r="B81" s="15"/>
      <c r="C81" s="4"/>
      <c r="D81" s="4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 t="str">
        <f t="shared" si="5"/>
        <v/>
      </c>
      <c r="S81" s="8" t="str">
        <f t="shared" si="6"/>
        <v/>
      </c>
      <c r="T81" s="8" t="str">
        <f t="shared" si="7"/>
        <v/>
      </c>
      <c r="U81" s="11" t="str">
        <f t="shared" si="9"/>
        <v/>
      </c>
      <c r="V81" s="11" t="str">
        <f t="shared" si="8"/>
        <v/>
      </c>
    </row>
    <row r="82" spans="1:22" ht="15" customHeight="1">
      <c r="A82" s="4"/>
      <c r="B82" s="15"/>
      <c r="C82" s="4"/>
      <c r="D82" s="4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8" t="str">
        <f t="shared" si="5"/>
        <v/>
      </c>
      <c r="S82" s="8" t="str">
        <f t="shared" si="6"/>
        <v/>
      </c>
      <c r="T82" s="8" t="str">
        <f t="shared" si="7"/>
        <v/>
      </c>
      <c r="U82" s="11" t="str">
        <f t="shared" si="9"/>
        <v/>
      </c>
      <c r="V82" s="11" t="str">
        <f t="shared" si="8"/>
        <v/>
      </c>
    </row>
    <row r="83" spans="1:22" ht="15" customHeight="1">
      <c r="A83" s="4"/>
      <c r="B83" s="15"/>
      <c r="C83" s="4"/>
      <c r="D83" s="4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8" t="str">
        <f t="shared" si="5"/>
        <v/>
      </c>
      <c r="S83" s="8" t="str">
        <f t="shared" si="6"/>
        <v/>
      </c>
      <c r="T83" s="8" t="str">
        <f t="shared" si="7"/>
        <v/>
      </c>
      <c r="U83" s="11" t="str">
        <f t="shared" si="9"/>
        <v/>
      </c>
      <c r="V83" s="11" t="str">
        <f t="shared" si="8"/>
        <v/>
      </c>
    </row>
    <row r="84" spans="1:22" ht="15" customHeight="1">
      <c r="A84" s="4"/>
      <c r="B84" s="15"/>
      <c r="C84" s="4"/>
      <c r="D84" s="4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8" t="str">
        <f t="shared" si="5"/>
        <v/>
      </c>
      <c r="S84" s="8" t="str">
        <f t="shared" si="6"/>
        <v/>
      </c>
      <c r="T84" s="8" t="str">
        <f t="shared" si="7"/>
        <v/>
      </c>
      <c r="U84" s="11" t="str">
        <f t="shared" si="9"/>
        <v/>
      </c>
      <c r="V84" s="11" t="str">
        <f t="shared" si="8"/>
        <v/>
      </c>
    </row>
    <row r="85" spans="1:22" ht="15" customHeight="1">
      <c r="A85" s="4"/>
      <c r="B85" s="15"/>
      <c r="C85" s="4"/>
      <c r="D85" s="4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 t="str">
        <f t="shared" si="5"/>
        <v/>
      </c>
      <c r="S85" s="8" t="str">
        <f t="shared" si="6"/>
        <v/>
      </c>
      <c r="T85" s="8" t="str">
        <f t="shared" si="7"/>
        <v/>
      </c>
      <c r="U85" s="11" t="str">
        <f t="shared" si="9"/>
        <v/>
      </c>
      <c r="V85" s="11" t="str">
        <f t="shared" si="8"/>
        <v/>
      </c>
    </row>
    <row r="86" spans="1:22" ht="15" customHeight="1">
      <c r="A86" s="4"/>
      <c r="B86" s="15"/>
      <c r="C86" s="4"/>
      <c r="D86" s="4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 t="str">
        <f t="shared" si="5"/>
        <v/>
      </c>
      <c r="S86" s="8" t="str">
        <f t="shared" si="6"/>
        <v/>
      </c>
      <c r="T86" s="8" t="str">
        <f t="shared" si="7"/>
        <v/>
      </c>
      <c r="U86" s="11" t="str">
        <f t="shared" si="9"/>
        <v/>
      </c>
      <c r="V86" s="11" t="str">
        <f t="shared" si="8"/>
        <v/>
      </c>
    </row>
    <row r="87" spans="1:22" ht="15" customHeight="1">
      <c r="A87" s="4"/>
      <c r="B87" s="15"/>
      <c r="C87" s="4"/>
      <c r="D87" s="4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 t="str">
        <f t="shared" si="5"/>
        <v/>
      </c>
      <c r="S87" s="8" t="str">
        <f t="shared" si="6"/>
        <v/>
      </c>
      <c r="T87" s="8" t="str">
        <f t="shared" si="7"/>
        <v/>
      </c>
      <c r="U87" s="11" t="str">
        <f t="shared" si="9"/>
        <v/>
      </c>
      <c r="V87" s="11" t="str">
        <f t="shared" si="8"/>
        <v/>
      </c>
    </row>
    <row r="88" spans="1:22" ht="15" customHeight="1">
      <c r="A88" s="4"/>
      <c r="B88" s="15"/>
      <c r="C88" s="4"/>
      <c r="D88" s="4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 t="str">
        <f t="shared" si="5"/>
        <v/>
      </c>
      <c r="S88" s="8" t="str">
        <f t="shared" si="6"/>
        <v/>
      </c>
      <c r="T88" s="8" t="str">
        <f t="shared" si="7"/>
        <v/>
      </c>
      <c r="U88" s="11" t="str">
        <f t="shared" si="9"/>
        <v/>
      </c>
      <c r="V88" s="11" t="str">
        <f t="shared" si="8"/>
        <v/>
      </c>
    </row>
    <row r="89" spans="1:22" ht="15" customHeight="1">
      <c r="A89" s="4"/>
      <c r="B89" s="15"/>
      <c r="C89" s="4"/>
      <c r="D89" s="4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8" t="str">
        <f t="shared" si="5"/>
        <v/>
      </c>
      <c r="S89" s="8" t="str">
        <f t="shared" si="6"/>
        <v/>
      </c>
      <c r="T89" s="8" t="str">
        <f t="shared" si="7"/>
        <v/>
      </c>
      <c r="U89" s="11" t="str">
        <f t="shared" si="9"/>
        <v/>
      </c>
      <c r="V89" s="11" t="str">
        <f t="shared" si="8"/>
        <v/>
      </c>
    </row>
    <row r="90" spans="1:22" ht="15" customHeight="1">
      <c r="A90" s="4"/>
      <c r="B90" s="15"/>
      <c r="C90" s="4"/>
      <c r="D90" s="4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 t="str">
        <f t="shared" si="5"/>
        <v/>
      </c>
      <c r="S90" s="8" t="str">
        <f t="shared" si="6"/>
        <v/>
      </c>
      <c r="T90" s="8" t="str">
        <f t="shared" si="7"/>
        <v/>
      </c>
      <c r="U90" s="11" t="str">
        <f t="shared" si="9"/>
        <v/>
      </c>
      <c r="V90" s="11" t="str">
        <f t="shared" si="8"/>
        <v/>
      </c>
    </row>
    <row r="91" spans="1:22" ht="15" customHeight="1">
      <c r="A91" s="4"/>
      <c r="B91" s="15"/>
      <c r="C91" s="4"/>
      <c r="D91" s="4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 t="str">
        <f t="shared" si="5"/>
        <v/>
      </c>
      <c r="S91" s="8" t="str">
        <f t="shared" si="6"/>
        <v/>
      </c>
      <c r="T91" s="8" t="str">
        <f t="shared" si="7"/>
        <v/>
      </c>
      <c r="U91" s="11" t="str">
        <f t="shared" si="9"/>
        <v/>
      </c>
      <c r="V91" s="11" t="str">
        <f t="shared" si="8"/>
        <v/>
      </c>
    </row>
    <row r="92" spans="1:22" ht="15" customHeight="1">
      <c r="A92" s="4"/>
      <c r="B92" s="15"/>
      <c r="C92" s="4"/>
      <c r="D92" s="4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 t="str">
        <f t="shared" si="5"/>
        <v/>
      </c>
      <c r="S92" s="8" t="str">
        <f t="shared" si="6"/>
        <v/>
      </c>
      <c r="T92" s="8" t="str">
        <f t="shared" si="7"/>
        <v/>
      </c>
      <c r="U92" s="11" t="str">
        <f t="shared" si="9"/>
        <v/>
      </c>
      <c r="V92" s="11" t="str">
        <f t="shared" si="8"/>
        <v/>
      </c>
    </row>
    <row r="93" spans="1:22" ht="15" customHeight="1">
      <c r="A93" s="4"/>
      <c r="B93" s="15"/>
      <c r="C93" s="4"/>
      <c r="D93" s="4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 t="str">
        <f t="shared" si="5"/>
        <v/>
      </c>
      <c r="S93" s="8" t="str">
        <f t="shared" si="6"/>
        <v/>
      </c>
      <c r="T93" s="8" t="str">
        <f t="shared" si="7"/>
        <v/>
      </c>
      <c r="U93" s="11" t="str">
        <f t="shared" si="9"/>
        <v/>
      </c>
      <c r="V93" s="11" t="str">
        <f t="shared" si="8"/>
        <v/>
      </c>
    </row>
    <row r="94" spans="1:22" ht="15" customHeight="1">
      <c r="A94" s="4"/>
      <c r="B94" s="15"/>
      <c r="C94" s="4"/>
      <c r="D94" s="4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 t="str">
        <f t="shared" si="5"/>
        <v/>
      </c>
      <c r="S94" s="8" t="str">
        <f t="shared" si="6"/>
        <v/>
      </c>
      <c r="T94" s="8" t="str">
        <f t="shared" si="7"/>
        <v/>
      </c>
      <c r="U94" s="11" t="str">
        <f t="shared" si="9"/>
        <v/>
      </c>
      <c r="V94" s="11" t="str">
        <f t="shared" si="8"/>
        <v/>
      </c>
    </row>
    <row r="95" spans="1:22" ht="15" customHeight="1">
      <c r="A95" s="4"/>
      <c r="B95" s="15"/>
      <c r="C95" s="4"/>
      <c r="D95" s="4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 t="str">
        <f t="shared" si="5"/>
        <v/>
      </c>
      <c r="S95" s="8" t="str">
        <f t="shared" si="6"/>
        <v/>
      </c>
      <c r="T95" s="8" t="str">
        <f t="shared" si="7"/>
        <v/>
      </c>
      <c r="U95" s="11" t="str">
        <f t="shared" si="9"/>
        <v/>
      </c>
      <c r="V95" s="11" t="str">
        <f t="shared" si="8"/>
        <v/>
      </c>
    </row>
    <row r="96" spans="1:22" ht="15" customHeight="1">
      <c r="A96" s="4"/>
      <c r="B96" s="15"/>
      <c r="C96" s="4"/>
      <c r="D96" s="4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8" t="str">
        <f t="shared" si="5"/>
        <v/>
      </c>
      <c r="S96" s="8" t="str">
        <f t="shared" si="6"/>
        <v/>
      </c>
      <c r="T96" s="8" t="str">
        <f t="shared" si="7"/>
        <v/>
      </c>
      <c r="U96" s="11" t="str">
        <f t="shared" si="9"/>
        <v/>
      </c>
      <c r="V96" s="11" t="str">
        <f t="shared" si="8"/>
        <v/>
      </c>
    </row>
    <row r="97" spans="1:22" ht="15" customHeight="1">
      <c r="A97" s="4"/>
      <c r="B97" s="15"/>
      <c r="C97" s="4"/>
      <c r="D97" s="4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 t="str">
        <f t="shared" si="5"/>
        <v/>
      </c>
      <c r="S97" s="8" t="str">
        <f t="shared" si="6"/>
        <v/>
      </c>
      <c r="T97" s="8" t="str">
        <f t="shared" si="7"/>
        <v/>
      </c>
      <c r="U97" s="11" t="str">
        <f t="shared" si="9"/>
        <v/>
      </c>
      <c r="V97" s="11" t="str">
        <f t="shared" si="8"/>
        <v/>
      </c>
    </row>
    <row r="98" spans="1:22" ht="15" customHeight="1">
      <c r="A98" s="4"/>
      <c r="B98" s="15"/>
      <c r="C98" s="4"/>
      <c r="D98" s="4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 t="str">
        <f t="shared" ref="R98:R161" si="10">IF(AND(F98="",H98=""),"",IF(SUM(F98,H98)=0,0,F98+H98))</f>
        <v/>
      </c>
      <c r="S98" s="8" t="str">
        <f t="shared" si="6"/>
        <v/>
      </c>
      <c r="T98" s="8" t="str">
        <f t="shared" si="7"/>
        <v/>
      </c>
      <c r="U98" s="11" t="str">
        <f t="shared" si="9"/>
        <v/>
      </c>
      <c r="V98" s="11" t="str">
        <f t="shared" si="8"/>
        <v/>
      </c>
    </row>
    <row r="99" spans="1:22" ht="15" customHeight="1">
      <c r="A99" s="4"/>
      <c r="B99" s="15"/>
      <c r="C99" s="4"/>
      <c r="D99" s="4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 t="str">
        <f t="shared" si="10"/>
        <v/>
      </c>
      <c r="S99" s="8" t="str">
        <f t="shared" si="6"/>
        <v/>
      </c>
      <c r="T99" s="8" t="str">
        <f t="shared" si="7"/>
        <v/>
      </c>
      <c r="U99" s="11" t="str">
        <f t="shared" si="9"/>
        <v/>
      </c>
      <c r="V99" s="11" t="str">
        <f t="shared" si="8"/>
        <v/>
      </c>
    </row>
    <row r="100" spans="1:22" ht="15" customHeight="1">
      <c r="A100" s="4"/>
      <c r="B100" s="15"/>
      <c r="C100" s="4"/>
      <c r="D100" s="4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8" t="str">
        <f t="shared" si="10"/>
        <v/>
      </c>
      <c r="S100" s="8" t="str">
        <f t="shared" si="6"/>
        <v/>
      </c>
      <c r="T100" s="8" t="str">
        <f t="shared" si="7"/>
        <v/>
      </c>
      <c r="U100" s="11" t="str">
        <f t="shared" si="9"/>
        <v/>
      </c>
      <c r="V100" s="11" t="str">
        <f t="shared" si="8"/>
        <v/>
      </c>
    </row>
    <row r="101" spans="1:22" ht="15" customHeight="1">
      <c r="A101" s="4"/>
      <c r="B101" s="15"/>
      <c r="C101" s="4"/>
      <c r="D101" s="4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8" t="str">
        <f t="shared" si="10"/>
        <v/>
      </c>
      <c r="S101" s="8" t="str">
        <f t="shared" si="6"/>
        <v/>
      </c>
      <c r="T101" s="8" t="str">
        <f t="shared" si="7"/>
        <v/>
      </c>
      <c r="U101" s="11" t="str">
        <f t="shared" si="9"/>
        <v/>
      </c>
      <c r="V101" s="11" t="str">
        <f t="shared" si="8"/>
        <v/>
      </c>
    </row>
    <row r="102" spans="1:22" ht="15" customHeight="1">
      <c r="A102" s="4"/>
      <c r="B102" s="15"/>
      <c r="C102" s="4"/>
      <c r="D102" s="4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8" t="str">
        <f t="shared" si="10"/>
        <v/>
      </c>
      <c r="S102" s="8" t="str">
        <f t="shared" si="6"/>
        <v/>
      </c>
      <c r="T102" s="8" t="str">
        <f t="shared" si="7"/>
        <v/>
      </c>
      <c r="U102" s="11" t="str">
        <f t="shared" si="9"/>
        <v/>
      </c>
      <c r="V102" s="11" t="str">
        <f t="shared" si="8"/>
        <v/>
      </c>
    </row>
    <row r="103" spans="1:22" ht="15" customHeight="1">
      <c r="A103" s="4"/>
      <c r="B103" s="15"/>
      <c r="C103" s="4"/>
      <c r="D103" s="4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8" t="str">
        <f t="shared" si="10"/>
        <v/>
      </c>
      <c r="S103" s="8" t="str">
        <f t="shared" si="6"/>
        <v/>
      </c>
      <c r="T103" s="8" t="str">
        <f t="shared" si="7"/>
        <v/>
      </c>
      <c r="U103" s="11" t="str">
        <f t="shared" si="9"/>
        <v/>
      </c>
      <c r="V103" s="11" t="str">
        <f t="shared" si="8"/>
        <v/>
      </c>
    </row>
    <row r="104" spans="1:22" ht="15" customHeight="1">
      <c r="A104" s="4"/>
      <c r="B104" s="15"/>
      <c r="C104" s="4"/>
      <c r="D104" s="4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8" t="str">
        <f t="shared" si="10"/>
        <v/>
      </c>
      <c r="S104" s="8" t="str">
        <f t="shared" si="6"/>
        <v/>
      </c>
      <c r="T104" s="8" t="str">
        <f t="shared" si="7"/>
        <v/>
      </c>
      <c r="U104" s="11" t="str">
        <f t="shared" si="9"/>
        <v/>
      </c>
      <c r="V104" s="11" t="str">
        <f t="shared" si="8"/>
        <v/>
      </c>
    </row>
    <row r="105" spans="1:22" ht="15" customHeight="1">
      <c r="A105" s="4"/>
      <c r="B105" s="15"/>
      <c r="C105" s="4"/>
      <c r="D105" s="4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 t="str">
        <f t="shared" si="10"/>
        <v/>
      </c>
      <c r="S105" s="8" t="str">
        <f t="shared" si="6"/>
        <v/>
      </c>
      <c r="T105" s="8" t="str">
        <f t="shared" si="7"/>
        <v/>
      </c>
      <c r="U105" s="11" t="str">
        <f t="shared" si="9"/>
        <v/>
      </c>
      <c r="V105" s="11" t="str">
        <f t="shared" si="8"/>
        <v/>
      </c>
    </row>
    <row r="106" spans="1:22" ht="15" customHeight="1">
      <c r="A106" s="4"/>
      <c r="B106" s="15"/>
      <c r="C106" s="4"/>
      <c r="D106" s="4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8" t="str">
        <f t="shared" si="10"/>
        <v/>
      </c>
      <c r="S106" s="8" t="str">
        <f t="shared" si="6"/>
        <v/>
      </c>
      <c r="T106" s="8" t="str">
        <f t="shared" si="7"/>
        <v/>
      </c>
      <c r="U106" s="11" t="str">
        <f t="shared" si="9"/>
        <v/>
      </c>
      <c r="V106" s="11" t="str">
        <f t="shared" si="8"/>
        <v/>
      </c>
    </row>
    <row r="107" spans="1:22" ht="15" customHeight="1">
      <c r="A107" s="4"/>
      <c r="B107" s="15"/>
      <c r="C107" s="4"/>
      <c r="D107" s="4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 t="str">
        <f t="shared" si="10"/>
        <v/>
      </c>
      <c r="S107" s="8" t="str">
        <f t="shared" si="6"/>
        <v/>
      </c>
      <c r="T107" s="8" t="str">
        <f t="shared" si="7"/>
        <v/>
      </c>
      <c r="U107" s="11" t="str">
        <f t="shared" si="9"/>
        <v/>
      </c>
      <c r="V107" s="11" t="str">
        <f t="shared" si="8"/>
        <v/>
      </c>
    </row>
    <row r="108" spans="1:22" ht="15" customHeight="1">
      <c r="A108" s="4"/>
      <c r="B108" s="15"/>
      <c r="C108" s="4"/>
      <c r="D108" s="4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8" t="str">
        <f t="shared" si="10"/>
        <v/>
      </c>
      <c r="S108" s="8" t="str">
        <f t="shared" si="6"/>
        <v/>
      </c>
      <c r="T108" s="8" t="str">
        <f t="shared" si="7"/>
        <v/>
      </c>
      <c r="U108" s="11" t="str">
        <f t="shared" si="9"/>
        <v/>
      </c>
      <c r="V108" s="11" t="str">
        <f t="shared" si="8"/>
        <v/>
      </c>
    </row>
    <row r="109" spans="1:22" ht="15" customHeight="1">
      <c r="A109" s="4"/>
      <c r="B109" s="15"/>
      <c r="C109" s="4"/>
      <c r="D109" s="4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 t="str">
        <f t="shared" si="10"/>
        <v/>
      </c>
      <c r="S109" s="8" t="str">
        <f t="shared" si="6"/>
        <v/>
      </c>
      <c r="T109" s="8" t="str">
        <f t="shared" si="7"/>
        <v/>
      </c>
      <c r="U109" s="11" t="str">
        <f t="shared" si="9"/>
        <v/>
      </c>
      <c r="V109" s="11" t="str">
        <f t="shared" si="8"/>
        <v/>
      </c>
    </row>
    <row r="110" spans="1:22" ht="15" customHeight="1">
      <c r="A110" s="4"/>
      <c r="B110" s="15"/>
      <c r="C110" s="4"/>
      <c r="D110" s="4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8" t="str">
        <f t="shared" si="10"/>
        <v/>
      </c>
      <c r="S110" s="8" t="str">
        <f t="shared" si="6"/>
        <v/>
      </c>
      <c r="T110" s="8" t="str">
        <f t="shared" si="7"/>
        <v/>
      </c>
      <c r="U110" s="11" t="str">
        <f t="shared" si="9"/>
        <v/>
      </c>
      <c r="V110" s="11" t="str">
        <f t="shared" si="8"/>
        <v/>
      </c>
    </row>
    <row r="111" spans="1:22" ht="15" customHeight="1">
      <c r="A111" s="4"/>
      <c r="B111" s="15"/>
      <c r="C111" s="4"/>
      <c r="D111" s="4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8" t="str">
        <f t="shared" si="10"/>
        <v/>
      </c>
      <c r="S111" s="8" t="str">
        <f t="shared" si="6"/>
        <v/>
      </c>
      <c r="T111" s="8" t="str">
        <f t="shared" si="7"/>
        <v/>
      </c>
      <c r="U111" s="11" t="str">
        <f t="shared" si="9"/>
        <v/>
      </c>
      <c r="V111" s="11" t="str">
        <f t="shared" si="8"/>
        <v/>
      </c>
    </row>
    <row r="112" spans="1:22" ht="15" customHeight="1">
      <c r="A112" s="4"/>
      <c r="B112" s="15"/>
      <c r="C112" s="4"/>
      <c r="D112" s="4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 t="str">
        <f t="shared" si="10"/>
        <v/>
      </c>
      <c r="S112" s="8" t="str">
        <f t="shared" si="6"/>
        <v/>
      </c>
      <c r="T112" s="8" t="str">
        <f t="shared" si="7"/>
        <v/>
      </c>
      <c r="U112" s="11" t="str">
        <f t="shared" si="9"/>
        <v/>
      </c>
      <c r="V112" s="11" t="str">
        <f t="shared" si="8"/>
        <v/>
      </c>
    </row>
    <row r="113" spans="1:22" ht="15" customHeight="1">
      <c r="A113" s="4"/>
      <c r="B113" s="15"/>
      <c r="C113" s="4"/>
      <c r="D113" s="4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8" t="str">
        <f t="shared" si="10"/>
        <v/>
      </c>
      <c r="S113" s="8" t="str">
        <f t="shared" si="6"/>
        <v/>
      </c>
      <c r="T113" s="8" t="str">
        <f t="shared" si="7"/>
        <v/>
      </c>
      <c r="U113" s="11" t="str">
        <f t="shared" si="9"/>
        <v/>
      </c>
      <c r="V113" s="11" t="str">
        <f t="shared" si="8"/>
        <v/>
      </c>
    </row>
    <row r="114" spans="1:22" ht="15" customHeight="1">
      <c r="A114" s="4"/>
      <c r="B114" s="15"/>
      <c r="C114" s="4"/>
      <c r="D114" s="4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 t="str">
        <f t="shared" si="10"/>
        <v/>
      </c>
      <c r="S114" s="8" t="str">
        <f t="shared" si="6"/>
        <v/>
      </c>
      <c r="T114" s="8" t="str">
        <f t="shared" si="7"/>
        <v/>
      </c>
      <c r="U114" s="11" t="str">
        <f t="shared" si="9"/>
        <v/>
      </c>
      <c r="V114" s="11" t="str">
        <f t="shared" si="8"/>
        <v/>
      </c>
    </row>
    <row r="115" spans="1:22" ht="15" customHeight="1">
      <c r="A115" s="4"/>
      <c r="B115" s="15"/>
      <c r="C115" s="4"/>
      <c r="D115" s="4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8" t="str">
        <f t="shared" si="10"/>
        <v/>
      </c>
      <c r="S115" s="8" t="str">
        <f t="shared" si="6"/>
        <v/>
      </c>
      <c r="T115" s="8" t="str">
        <f t="shared" si="7"/>
        <v/>
      </c>
      <c r="U115" s="11" t="str">
        <f t="shared" si="9"/>
        <v/>
      </c>
      <c r="V115" s="11" t="str">
        <f t="shared" si="8"/>
        <v/>
      </c>
    </row>
    <row r="116" spans="1:22" ht="15" customHeight="1">
      <c r="A116" s="4"/>
      <c r="B116" s="15"/>
      <c r="C116" s="4"/>
      <c r="D116" s="4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8" t="str">
        <f t="shared" si="10"/>
        <v/>
      </c>
      <c r="S116" s="8" t="str">
        <f t="shared" si="6"/>
        <v/>
      </c>
      <c r="T116" s="8" t="str">
        <f t="shared" si="7"/>
        <v/>
      </c>
      <c r="U116" s="11" t="str">
        <f t="shared" si="9"/>
        <v/>
      </c>
      <c r="V116" s="11" t="str">
        <f t="shared" si="8"/>
        <v/>
      </c>
    </row>
    <row r="117" spans="1:22" ht="15" customHeight="1">
      <c r="A117" s="4"/>
      <c r="B117" s="15"/>
      <c r="C117" s="4"/>
      <c r="D117" s="4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8" t="str">
        <f t="shared" si="10"/>
        <v/>
      </c>
      <c r="S117" s="8" t="str">
        <f t="shared" si="6"/>
        <v/>
      </c>
      <c r="T117" s="8" t="str">
        <f t="shared" si="7"/>
        <v/>
      </c>
      <c r="U117" s="11" t="str">
        <f t="shared" si="9"/>
        <v/>
      </c>
      <c r="V117" s="11" t="str">
        <f t="shared" si="8"/>
        <v/>
      </c>
    </row>
    <row r="118" spans="1:22" ht="15" customHeight="1">
      <c r="A118" s="4"/>
      <c r="B118" s="15"/>
      <c r="C118" s="4"/>
      <c r="D118" s="4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8" t="str">
        <f t="shared" si="10"/>
        <v/>
      </c>
      <c r="S118" s="8" t="str">
        <f t="shared" si="6"/>
        <v/>
      </c>
      <c r="T118" s="8" t="str">
        <f t="shared" si="7"/>
        <v/>
      </c>
      <c r="U118" s="11" t="str">
        <f t="shared" si="9"/>
        <v/>
      </c>
      <c r="V118" s="11" t="str">
        <f t="shared" si="8"/>
        <v/>
      </c>
    </row>
    <row r="119" spans="1:22" ht="15" customHeight="1">
      <c r="A119" s="4"/>
      <c r="B119" s="15"/>
      <c r="C119" s="4"/>
      <c r="D119" s="4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 t="str">
        <f t="shared" si="10"/>
        <v/>
      </c>
      <c r="S119" s="8" t="str">
        <f t="shared" si="6"/>
        <v/>
      </c>
      <c r="T119" s="8" t="str">
        <f t="shared" si="7"/>
        <v/>
      </c>
      <c r="U119" s="11" t="str">
        <f t="shared" si="9"/>
        <v/>
      </c>
      <c r="V119" s="11" t="str">
        <f t="shared" si="8"/>
        <v/>
      </c>
    </row>
    <row r="120" spans="1:22" ht="15" customHeight="1">
      <c r="A120" s="4"/>
      <c r="B120" s="15"/>
      <c r="C120" s="4"/>
      <c r="D120" s="4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 t="str">
        <f t="shared" si="10"/>
        <v/>
      </c>
      <c r="S120" s="8" t="str">
        <f t="shared" si="6"/>
        <v/>
      </c>
      <c r="T120" s="8" t="str">
        <f t="shared" si="7"/>
        <v/>
      </c>
      <c r="U120" s="11" t="str">
        <f t="shared" si="9"/>
        <v/>
      </c>
      <c r="V120" s="11" t="str">
        <f t="shared" si="8"/>
        <v/>
      </c>
    </row>
    <row r="121" spans="1:22" ht="15" customHeight="1">
      <c r="A121" s="4"/>
      <c r="B121" s="15"/>
      <c r="C121" s="4"/>
      <c r="D121" s="4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 t="str">
        <f t="shared" si="10"/>
        <v/>
      </c>
      <c r="S121" s="8" t="str">
        <f t="shared" si="6"/>
        <v/>
      </c>
      <c r="T121" s="8" t="str">
        <f t="shared" si="7"/>
        <v/>
      </c>
      <c r="U121" s="11" t="str">
        <f t="shared" si="9"/>
        <v/>
      </c>
      <c r="V121" s="11" t="str">
        <f t="shared" si="8"/>
        <v/>
      </c>
    </row>
    <row r="122" spans="1:22" ht="15" customHeight="1">
      <c r="A122" s="4"/>
      <c r="B122" s="15"/>
      <c r="C122" s="4"/>
      <c r="D122" s="4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8" t="str">
        <f t="shared" si="10"/>
        <v/>
      </c>
      <c r="S122" s="8" t="str">
        <f t="shared" si="6"/>
        <v/>
      </c>
      <c r="T122" s="8" t="str">
        <f t="shared" si="7"/>
        <v/>
      </c>
      <c r="U122" s="11" t="str">
        <f t="shared" si="9"/>
        <v/>
      </c>
      <c r="V122" s="11" t="str">
        <f t="shared" si="8"/>
        <v/>
      </c>
    </row>
    <row r="123" spans="1:22" ht="15" customHeight="1">
      <c r="A123" s="4"/>
      <c r="B123" s="15"/>
      <c r="C123" s="4"/>
      <c r="D123" s="4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8" t="str">
        <f t="shared" si="10"/>
        <v/>
      </c>
      <c r="S123" s="8" t="str">
        <f t="shared" si="6"/>
        <v/>
      </c>
      <c r="T123" s="8" t="str">
        <f t="shared" si="7"/>
        <v/>
      </c>
      <c r="U123" s="11" t="str">
        <f t="shared" si="9"/>
        <v/>
      </c>
      <c r="V123" s="11" t="str">
        <f t="shared" si="8"/>
        <v/>
      </c>
    </row>
    <row r="124" spans="1:22" ht="15" customHeight="1">
      <c r="A124" s="4"/>
      <c r="B124" s="15"/>
      <c r="C124" s="4"/>
      <c r="D124" s="4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8" t="str">
        <f t="shared" si="10"/>
        <v/>
      </c>
      <c r="S124" s="8" t="str">
        <f t="shared" si="6"/>
        <v/>
      </c>
      <c r="T124" s="8" t="str">
        <f t="shared" si="7"/>
        <v/>
      </c>
      <c r="U124" s="11" t="str">
        <f t="shared" si="9"/>
        <v/>
      </c>
      <c r="V124" s="11" t="str">
        <f t="shared" si="8"/>
        <v/>
      </c>
    </row>
    <row r="125" spans="1:22" ht="15" customHeight="1">
      <c r="A125" s="4"/>
      <c r="B125" s="15"/>
      <c r="C125" s="4"/>
      <c r="D125" s="4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 t="str">
        <f t="shared" si="10"/>
        <v/>
      </c>
      <c r="S125" s="8" t="str">
        <f t="shared" si="6"/>
        <v/>
      </c>
      <c r="T125" s="8" t="str">
        <f t="shared" si="7"/>
        <v/>
      </c>
      <c r="U125" s="11" t="str">
        <f t="shared" si="9"/>
        <v/>
      </c>
      <c r="V125" s="11" t="str">
        <f t="shared" si="8"/>
        <v/>
      </c>
    </row>
    <row r="126" spans="1:22" ht="15" customHeight="1">
      <c r="A126" s="4"/>
      <c r="B126" s="15"/>
      <c r="C126" s="4"/>
      <c r="D126" s="4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 t="str">
        <f t="shared" si="10"/>
        <v/>
      </c>
      <c r="S126" s="8" t="str">
        <f t="shared" si="6"/>
        <v/>
      </c>
      <c r="T126" s="8" t="str">
        <f t="shared" si="7"/>
        <v/>
      </c>
      <c r="U126" s="11" t="str">
        <f t="shared" si="9"/>
        <v/>
      </c>
      <c r="V126" s="11" t="str">
        <f t="shared" si="8"/>
        <v/>
      </c>
    </row>
    <row r="127" spans="1:22" ht="15" customHeight="1">
      <c r="A127" s="4"/>
      <c r="B127" s="15"/>
      <c r="C127" s="4"/>
      <c r="D127" s="4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 t="str">
        <f t="shared" si="10"/>
        <v/>
      </c>
      <c r="S127" s="8" t="str">
        <f t="shared" si="6"/>
        <v/>
      </c>
      <c r="T127" s="8" t="str">
        <f t="shared" si="7"/>
        <v/>
      </c>
      <c r="U127" s="11" t="str">
        <f t="shared" si="9"/>
        <v/>
      </c>
      <c r="V127" s="11" t="str">
        <f t="shared" si="8"/>
        <v/>
      </c>
    </row>
    <row r="128" spans="1:22" ht="15" customHeight="1">
      <c r="A128" s="4"/>
      <c r="B128" s="15"/>
      <c r="C128" s="4"/>
      <c r="D128" s="4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 t="str">
        <f t="shared" si="10"/>
        <v/>
      </c>
      <c r="S128" s="8" t="str">
        <f t="shared" si="6"/>
        <v/>
      </c>
      <c r="T128" s="8" t="str">
        <f t="shared" si="7"/>
        <v/>
      </c>
      <c r="U128" s="11" t="str">
        <f t="shared" si="9"/>
        <v/>
      </c>
      <c r="V128" s="11" t="str">
        <f t="shared" si="8"/>
        <v/>
      </c>
    </row>
    <row r="129" spans="1:22" ht="15" customHeight="1">
      <c r="A129" s="4"/>
      <c r="B129" s="15"/>
      <c r="C129" s="4"/>
      <c r="D129" s="4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8" t="str">
        <f t="shared" si="10"/>
        <v/>
      </c>
      <c r="S129" s="8" t="str">
        <f t="shared" si="6"/>
        <v/>
      </c>
      <c r="T129" s="8" t="str">
        <f t="shared" si="7"/>
        <v/>
      </c>
      <c r="U129" s="11" t="str">
        <f t="shared" si="9"/>
        <v/>
      </c>
      <c r="V129" s="11" t="str">
        <f t="shared" si="8"/>
        <v/>
      </c>
    </row>
    <row r="130" spans="1:22" ht="15" customHeight="1">
      <c r="A130" s="4"/>
      <c r="B130" s="15"/>
      <c r="C130" s="4"/>
      <c r="D130" s="4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 t="str">
        <f t="shared" si="10"/>
        <v/>
      </c>
      <c r="S130" s="8" t="str">
        <f t="shared" si="6"/>
        <v/>
      </c>
      <c r="T130" s="8" t="str">
        <f t="shared" si="7"/>
        <v/>
      </c>
      <c r="U130" s="11" t="str">
        <f t="shared" si="9"/>
        <v/>
      </c>
      <c r="V130" s="11" t="str">
        <f t="shared" si="8"/>
        <v/>
      </c>
    </row>
    <row r="131" spans="1:22" ht="15" customHeight="1">
      <c r="A131" s="4"/>
      <c r="B131" s="15"/>
      <c r="C131" s="4"/>
      <c r="D131" s="4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 t="str">
        <f t="shared" si="10"/>
        <v/>
      </c>
      <c r="S131" s="8" t="str">
        <f t="shared" si="6"/>
        <v/>
      </c>
      <c r="T131" s="8" t="str">
        <f t="shared" si="7"/>
        <v/>
      </c>
      <c r="U131" s="11" t="str">
        <f t="shared" si="9"/>
        <v/>
      </c>
      <c r="V131" s="11" t="str">
        <f t="shared" si="8"/>
        <v/>
      </c>
    </row>
    <row r="132" spans="1:22" ht="15" customHeight="1">
      <c r="A132" s="4"/>
      <c r="B132" s="15"/>
      <c r="C132" s="4"/>
      <c r="D132" s="4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8" t="str">
        <f t="shared" si="10"/>
        <v/>
      </c>
      <c r="S132" s="8" t="str">
        <f t="shared" ref="S132:S195" si="11">IF(SUM(G132,I132)=0,"",G132+I132)</f>
        <v/>
      </c>
      <c r="T132" s="8" t="str">
        <f t="shared" ref="T132:T195" si="12">IF(SUM(F132,H132,J132)=0,"",F132*2+H132*3+J132)</f>
        <v/>
      </c>
      <c r="U132" s="11" t="str">
        <f t="shared" si="9"/>
        <v/>
      </c>
      <c r="V132" s="11" t="str">
        <f t="shared" ref="V132:V195" si="13">IF(K132=0,"",J132/K132)</f>
        <v/>
      </c>
    </row>
    <row r="133" spans="1:22" ht="15" customHeight="1">
      <c r="A133" s="4"/>
      <c r="B133" s="15"/>
      <c r="C133" s="4"/>
      <c r="D133" s="4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8" t="str">
        <f t="shared" si="10"/>
        <v/>
      </c>
      <c r="S133" s="8" t="str">
        <f t="shared" si="11"/>
        <v/>
      </c>
      <c r="T133" s="8" t="str">
        <f t="shared" si="12"/>
        <v/>
      </c>
      <c r="U133" s="11" t="str">
        <f t="shared" ref="U133:U196" si="14">IF(S133="","",IF(R133="",0,R133/S133))</f>
        <v/>
      </c>
      <c r="V133" s="11" t="str">
        <f t="shared" si="13"/>
        <v/>
      </c>
    </row>
    <row r="134" spans="1:22" ht="15" customHeight="1">
      <c r="A134" s="4"/>
      <c r="B134" s="15"/>
      <c r="C134" s="4"/>
      <c r="D134" s="4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 t="str">
        <f t="shared" si="10"/>
        <v/>
      </c>
      <c r="S134" s="8" t="str">
        <f t="shared" si="11"/>
        <v/>
      </c>
      <c r="T134" s="8" t="str">
        <f t="shared" si="12"/>
        <v/>
      </c>
      <c r="U134" s="11" t="str">
        <f t="shared" si="14"/>
        <v/>
      </c>
      <c r="V134" s="11" t="str">
        <f t="shared" si="13"/>
        <v/>
      </c>
    </row>
    <row r="135" spans="1:22" ht="15" customHeight="1">
      <c r="A135" s="4"/>
      <c r="B135" s="15"/>
      <c r="C135" s="4"/>
      <c r="D135" s="4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8" t="str">
        <f t="shared" si="10"/>
        <v/>
      </c>
      <c r="S135" s="8" t="str">
        <f t="shared" si="11"/>
        <v/>
      </c>
      <c r="T135" s="8" t="str">
        <f t="shared" si="12"/>
        <v/>
      </c>
      <c r="U135" s="11" t="str">
        <f t="shared" si="14"/>
        <v/>
      </c>
      <c r="V135" s="11" t="str">
        <f t="shared" si="13"/>
        <v/>
      </c>
    </row>
    <row r="136" spans="1:22" ht="15" customHeight="1">
      <c r="A136" s="4"/>
      <c r="B136" s="15"/>
      <c r="C136" s="4"/>
      <c r="D136" s="4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8" t="str">
        <f t="shared" si="10"/>
        <v/>
      </c>
      <c r="S136" s="8" t="str">
        <f t="shared" si="11"/>
        <v/>
      </c>
      <c r="T136" s="8" t="str">
        <f t="shared" si="12"/>
        <v/>
      </c>
      <c r="U136" s="11" t="str">
        <f t="shared" si="14"/>
        <v/>
      </c>
      <c r="V136" s="11" t="str">
        <f t="shared" si="13"/>
        <v/>
      </c>
    </row>
    <row r="137" spans="1:22" ht="15" customHeight="1">
      <c r="A137" s="4"/>
      <c r="B137" s="15"/>
      <c r="C137" s="4"/>
      <c r="D137" s="4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8" t="str">
        <f t="shared" si="10"/>
        <v/>
      </c>
      <c r="S137" s="8" t="str">
        <f t="shared" si="11"/>
        <v/>
      </c>
      <c r="T137" s="8" t="str">
        <f t="shared" si="12"/>
        <v/>
      </c>
      <c r="U137" s="11" t="str">
        <f t="shared" si="14"/>
        <v/>
      </c>
      <c r="V137" s="11" t="str">
        <f t="shared" si="13"/>
        <v/>
      </c>
    </row>
    <row r="138" spans="1:22" ht="15" customHeight="1">
      <c r="A138" s="4"/>
      <c r="B138" s="15"/>
      <c r="C138" s="4"/>
      <c r="D138" s="4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8" t="str">
        <f t="shared" si="10"/>
        <v/>
      </c>
      <c r="S138" s="8" t="str">
        <f t="shared" si="11"/>
        <v/>
      </c>
      <c r="T138" s="8" t="str">
        <f t="shared" si="12"/>
        <v/>
      </c>
      <c r="U138" s="11" t="str">
        <f t="shared" si="14"/>
        <v/>
      </c>
      <c r="V138" s="11" t="str">
        <f t="shared" si="13"/>
        <v/>
      </c>
    </row>
    <row r="139" spans="1:22" ht="15" customHeight="1">
      <c r="A139" s="4"/>
      <c r="B139" s="15"/>
      <c r="C139" s="4"/>
      <c r="D139" s="4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8" t="str">
        <f t="shared" si="10"/>
        <v/>
      </c>
      <c r="S139" s="8" t="str">
        <f t="shared" si="11"/>
        <v/>
      </c>
      <c r="T139" s="8" t="str">
        <f t="shared" si="12"/>
        <v/>
      </c>
      <c r="U139" s="11" t="str">
        <f t="shared" si="14"/>
        <v/>
      </c>
      <c r="V139" s="11" t="str">
        <f t="shared" si="13"/>
        <v/>
      </c>
    </row>
    <row r="140" spans="1:22" ht="15" customHeight="1">
      <c r="A140" s="4"/>
      <c r="B140" s="15"/>
      <c r="C140" s="4"/>
      <c r="D140" s="4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 t="str">
        <f t="shared" si="10"/>
        <v/>
      </c>
      <c r="S140" s="8" t="str">
        <f t="shared" si="11"/>
        <v/>
      </c>
      <c r="T140" s="8" t="str">
        <f t="shared" si="12"/>
        <v/>
      </c>
      <c r="U140" s="11" t="str">
        <f t="shared" si="14"/>
        <v/>
      </c>
      <c r="V140" s="11" t="str">
        <f t="shared" si="13"/>
        <v/>
      </c>
    </row>
    <row r="141" spans="1:22" ht="15" customHeight="1">
      <c r="A141" s="4"/>
      <c r="B141" s="15"/>
      <c r="C141" s="4"/>
      <c r="D141" s="4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8" t="str">
        <f t="shared" si="10"/>
        <v/>
      </c>
      <c r="S141" s="8" t="str">
        <f t="shared" si="11"/>
        <v/>
      </c>
      <c r="T141" s="8" t="str">
        <f t="shared" si="12"/>
        <v/>
      </c>
      <c r="U141" s="11" t="str">
        <f t="shared" si="14"/>
        <v/>
      </c>
      <c r="V141" s="11" t="str">
        <f t="shared" si="13"/>
        <v/>
      </c>
    </row>
    <row r="142" spans="1:22" ht="15" customHeight="1">
      <c r="A142" s="4"/>
      <c r="B142" s="15"/>
      <c r="C142" s="4"/>
      <c r="D142" s="4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8" t="str">
        <f t="shared" si="10"/>
        <v/>
      </c>
      <c r="S142" s="8" t="str">
        <f t="shared" si="11"/>
        <v/>
      </c>
      <c r="T142" s="8" t="str">
        <f t="shared" si="12"/>
        <v/>
      </c>
      <c r="U142" s="11" t="str">
        <f t="shared" si="14"/>
        <v/>
      </c>
      <c r="V142" s="11" t="str">
        <f t="shared" si="13"/>
        <v/>
      </c>
    </row>
    <row r="143" spans="1:22" ht="15" customHeight="1">
      <c r="A143" s="4"/>
      <c r="B143" s="15"/>
      <c r="C143" s="4"/>
      <c r="D143" s="4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 t="str">
        <f t="shared" si="10"/>
        <v/>
      </c>
      <c r="S143" s="8" t="str">
        <f t="shared" si="11"/>
        <v/>
      </c>
      <c r="T143" s="8" t="str">
        <f t="shared" si="12"/>
        <v/>
      </c>
      <c r="U143" s="11" t="str">
        <f t="shared" si="14"/>
        <v/>
      </c>
      <c r="V143" s="11" t="str">
        <f t="shared" si="13"/>
        <v/>
      </c>
    </row>
    <row r="144" spans="1:22" ht="15" customHeight="1">
      <c r="A144" s="4"/>
      <c r="B144" s="15"/>
      <c r="C144" s="4"/>
      <c r="D144" s="4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 t="str">
        <f t="shared" si="10"/>
        <v/>
      </c>
      <c r="S144" s="8" t="str">
        <f t="shared" si="11"/>
        <v/>
      </c>
      <c r="T144" s="8" t="str">
        <f t="shared" si="12"/>
        <v/>
      </c>
      <c r="U144" s="11" t="str">
        <f t="shared" si="14"/>
        <v/>
      </c>
      <c r="V144" s="11" t="str">
        <f t="shared" si="13"/>
        <v/>
      </c>
    </row>
    <row r="145" spans="1:22" ht="15" customHeight="1">
      <c r="A145" s="4"/>
      <c r="B145" s="15"/>
      <c r="C145" s="4"/>
      <c r="D145" s="4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 t="str">
        <f t="shared" si="10"/>
        <v/>
      </c>
      <c r="S145" s="8" t="str">
        <f t="shared" si="11"/>
        <v/>
      </c>
      <c r="T145" s="8" t="str">
        <f t="shared" si="12"/>
        <v/>
      </c>
      <c r="U145" s="11" t="str">
        <f t="shared" si="14"/>
        <v/>
      </c>
      <c r="V145" s="11" t="str">
        <f t="shared" si="13"/>
        <v/>
      </c>
    </row>
    <row r="146" spans="1:22" ht="15" customHeight="1">
      <c r="A146" s="4"/>
      <c r="B146" s="15"/>
      <c r="C146" s="4"/>
      <c r="D146" s="4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 t="str">
        <f t="shared" si="10"/>
        <v/>
      </c>
      <c r="S146" s="8" t="str">
        <f t="shared" si="11"/>
        <v/>
      </c>
      <c r="T146" s="8" t="str">
        <f t="shared" si="12"/>
        <v/>
      </c>
      <c r="U146" s="11" t="str">
        <f t="shared" si="14"/>
        <v/>
      </c>
      <c r="V146" s="11" t="str">
        <f t="shared" si="13"/>
        <v/>
      </c>
    </row>
    <row r="147" spans="1:22" ht="15" customHeight="1">
      <c r="A147" s="4"/>
      <c r="B147" s="15"/>
      <c r="C147" s="4"/>
      <c r="D147" s="4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8" t="str">
        <f t="shared" si="10"/>
        <v/>
      </c>
      <c r="S147" s="8" t="str">
        <f t="shared" si="11"/>
        <v/>
      </c>
      <c r="T147" s="8" t="str">
        <f t="shared" si="12"/>
        <v/>
      </c>
      <c r="U147" s="11" t="str">
        <f t="shared" si="14"/>
        <v/>
      </c>
      <c r="V147" s="11" t="str">
        <f t="shared" si="13"/>
        <v/>
      </c>
    </row>
    <row r="148" spans="1:22" ht="15" customHeight="1">
      <c r="A148" s="4"/>
      <c r="B148" s="15"/>
      <c r="C148" s="4"/>
      <c r="D148" s="4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8" t="str">
        <f t="shared" si="10"/>
        <v/>
      </c>
      <c r="S148" s="8" t="str">
        <f t="shared" si="11"/>
        <v/>
      </c>
      <c r="T148" s="8" t="str">
        <f t="shared" si="12"/>
        <v/>
      </c>
      <c r="U148" s="11" t="str">
        <f t="shared" si="14"/>
        <v/>
      </c>
      <c r="V148" s="11" t="str">
        <f t="shared" si="13"/>
        <v/>
      </c>
    </row>
    <row r="149" spans="1:22" ht="15" customHeight="1">
      <c r="A149" s="4"/>
      <c r="B149" s="15"/>
      <c r="C149" s="4"/>
      <c r="D149" s="4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8" t="str">
        <f t="shared" si="10"/>
        <v/>
      </c>
      <c r="S149" s="8" t="str">
        <f t="shared" si="11"/>
        <v/>
      </c>
      <c r="T149" s="8" t="str">
        <f t="shared" si="12"/>
        <v/>
      </c>
      <c r="U149" s="11" t="str">
        <f t="shared" si="14"/>
        <v/>
      </c>
      <c r="V149" s="11" t="str">
        <f t="shared" si="13"/>
        <v/>
      </c>
    </row>
    <row r="150" spans="1:22" ht="15" customHeight="1">
      <c r="A150" s="4"/>
      <c r="B150" s="15"/>
      <c r="C150" s="4"/>
      <c r="D150" s="4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8" t="str">
        <f t="shared" si="10"/>
        <v/>
      </c>
      <c r="S150" s="8" t="str">
        <f t="shared" si="11"/>
        <v/>
      </c>
      <c r="T150" s="8" t="str">
        <f t="shared" si="12"/>
        <v/>
      </c>
      <c r="U150" s="11" t="str">
        <f t="shared" si="14"/>
        <v/>
      </c>
      <c r="V150" s="11" t="str">
        <f t="shared" si="13"/>
        <v/>
      </c>
    </row>
    <row r="151" spans="1:22" ht="15" customHeight="1">
      <c r="A151" s="4"/>
      <c r="B151" s="15"/>
      <c r="C151" s="4"/>
      <c r="D151" s="4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8" t="str">
        <f t="shared" si="10"/>
        <v/>
      </c>
      <c r="S151" s="8" t="str">
        <f t="shared" si="11"/>
        <v/>
      </c>
      <c r="T151" s="8" t="str">
        <f t="shared" si="12"/>
        <v/>
      </c>
      <c r="U151" s="11" t="str">
        <f t="shared" si="14"/>
        <v/>
      </c>
      <c r="V151" s="11" t="str">
        <f t="shared" si="13"/>
        <v/>
      </c>
    </row>
    <row r="152" spans="1:22" ht="15" customHeight="1">
      <c r="A152" s="4"/>
      <c r="B152" s="15"/>
      <c r="C152" s="4"/>
      <c r="D152" s="4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8" t="str">
        <f t="shared" si="10"/>
        <v/>
      </c>
      <c r="S152" s="8" t="str">
        <f t="shared" si="11"/>
        <v/>
      </c>
      <c r="T152" s="8" t="str">
        <f t="shared" si="12"/>
        <v/>
      </c>
      <c r="U152" s="11" t="str">
        <f t="shared" si="14"/>
        <v/>
      </c>
      <c r="V152" s="11" t="str">
        <f t="shared" si="13"/>
        <v/>
      </c>
    </row>
    <row r="153" spans="1:22" ht="15" customHeight="1">
      <c r="A153" s="4"/>
      <c r="B153" s="15"/>
      <c r="C153" s="4"/>
      <c r="D153" s="4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8" t="str">
        <f t="shared" si="10"/>
        <v/>
      </c>
      <c r="S153" s="8" t="str">
        <f t="shared" si="11"/>
        <v/>
      </c>
      <c r="T153" s="8" t="str">
        <f t="shared" si="12"/>
        <v/>
      </c>
      <c r="U153" s="11" t="str">
        <f t="shared" si="14"/>
        <v/>
      </c>
      <c r="V153" s="11" t="str">
        <f t="shared" si="13"/>
        <v/>
      </c>
    </row>
    <row r="154" spans="1:22" ht="15" customHeight="1">
      <c r="A154" s="4"/>
      <c r="B154" s="15"/>
      <c r="C154" s="4"/>
      <c r="D154" s="4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8" t="str">
        <f t="shared" si="10"/>
        <v/>
      </c>
      <c r="S154" s="8" t="str">
        <f t="shared" si="11"/>
        <v/>
      </c>
      <c r="T154" s="8" t="str">
        <f t="shared" si="12"/>
        <v/>
      </c>
      <c r="U154" s="11" t="str">
        <f t="shared" si="14"/>
        <v/>
      </c>
      <c r="V154" s="11" t="str">
        <f t="shared" si="13"/>
        <v/>
      </c>
    </row>
    <row r="155" spans="1:22" ht="15" customHeight="1">
      <c r="A155" s="4"/>
      <c r="B155" s="15"/>
      <c r="C155" s="4"/>
      <c r="D155" s="4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8" t="str">
        <f t="shared" si="10"/>
        <v/>
      </c>
      <c r="S155" s="8" t="str">
        <f t="shared" si="11"/>
        <v/>
      </c>
      <c r="T155" s="8" t="str">
        <f t="shared" si="12"/>
        <v/>
      </c>
      <c r="U155" s="11" t="str">
        <f t="shared" si="14"/>
        <v/>
      </c>
      <c r="V155" s="11" t="str">
        <f t="shared" si="13"/>
        <v/>
      </c>
    </row>
    <row r="156" spans="1:22" ht="15" customHeight="1">
      <c r="A156" s="4"/>
      <c r="B156" s="15"/>
      <c r="C156" s="4"/>
      <c r="D156" s="4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8" t="str">
        <f t="shared" si="10"/>
        <v/>
      </c>
      <c r="S156" s="8" t="str">
        <f t="shared" si="11"/>
        <v/>
      </c>
      <c r="T156" s="8" t="str">
        <f t="shared" si="12"/>
        <v/>
      </c>
      <c r="U156" s="11" t="str">
        <f t="shared" si="14"/>
        <v/>
      </c>
      <c r="V156" s="11" t="str">
        <f t="shared" si="13"/>
        <v/>
      </c>
    </row>
    <row r="157" spans="1:22" ht="15" customHeight="1">
      <c r="A157" s="4"/>
      <c r="B157" s="15"/>
      <c r="C157" s="4"/>
      <c r="D157" s="4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8" t="str">
        <f t="shared" si="10"/>
        <v/>
      </c>
      <c r="S157" s="8" t="str">
        <f t="shared" si="11"/>
        <v/>
      </c>
      <c r="T157" s="8" t="str">
        <f t="shared" si="12"/>
        <v/>
      </c>
      <c r="U157" s="11" t="str">
        <f t="shared" si="14"/>
        <v/>
      </c>
      <c r="V157" s="11" t="str">
        <f t="shared" si="13"/>
        <v/>
      </c>
    </row>
    <row r="158" spans="1:22" ht="15" customHeight="1">
      <c r="A158" s="4"/>
      <c r="B158" s="15"/>
      <c r="C158" s="4"/>
      <c r="D158" s="4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8" t="str">
        <f t="shared" si="10"/>
        <v/>
      </c>
      <c r="S158" s="8" t="str">
        <f t="shared" si="11"/>
        <v/>
      </c>
      <c r="T158" s="8" t="str">
        <f t="shared" si="12"/>
        <v/>
      </c>
      <c r="U158" s="11" t="str">
        <f t="shared" si="14"/>
        <v/>
      </c>
      <c r="V158" s="11" t="str">
        <f t="shared" si="13"/>
        <v/>
      </c>
    </row>
    <row r="159" spans="1:22" ht="15" customHeight="1">
      <c r="A159" s="4"/>
      <c r="B159" s="15"/>
      <c r="C159" s="4"/>
      <c r="D159" s="4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8" t="str">
        <f t="shared" si="10"/>
        <v/>
      </c>
      <c r="S159" s="8" t="str">
        <f t="shared" si="11"/>
        <v/>
      </c>
      <c r="T159" s="8" t="str">
        <f t="shared" si="12"/>
        <v/>
      </c>
      <c r="U159" s="11" t="str">
        <f t="shared" si="14"/>
        <v/>
      </c>
      <c r="V159" s="11" t="str">
        <f t="shared" si="13"/>
        <v/>
      </c>
    </row>
    <row r="160" spans="1:22" ht="15" customHeight="1">
      <c r="A160" s="4"/>
      <c r="B160" s="15"/>
      <c r="C160" s="4"/>
      <c r="D160" s="4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8" t="str">
        <f t="shared" si="10"/>
        <v/>
      </c>
      <c r="S160" s="8" t="str">
        <f t="shared" si="11"/>
        <v/>
      </c>
      <c r="T160" s="8" t="str">
        <f t="shared" si="12"/>
        <v/>
      </c>
      <c r="U160" s="11" t="str">
        <f t="shared" si="14"/>
        <v/>
      </c>
      <c r="V160" s="11" t="str">
        <f t="shared" si="13"/>
        <v/>
      </c>
    </row>
    <row r="161" spans="1:22" ht="15" customHeight="1">
      <c r="A161" s="4"/>
      <c r="B161" s="15"/>
      <c r="C161" s="4"/>
      <c r="D161" s="4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8" t="str">
        <f t="shared" si="10"/>
        <v/>
      </c>
      <c r="S161" s="8" t="str">
        <f t="shared" si="11"/>
        <v/>
      </c>
      <c r="T161" s="8" t="str">
        <f t="shared" si="12"/>
        <v/>
      </c>
      <c r="U161" s="11" t="str">
        <f t="shared" si="14"/>
        <v/>
      </c>
      <c r="V161" s="11" t="str">
        <f t="shared" si="13"/>
        <v/>
      </c>
    </row>
    <row r="162" spans="1:22" ht="15" customHeight="1">
      <c r="A162" s="4"/>
      <c r="B162" s="15"/>
      <c r="C162" s="4"/>
      <c r="D162" s="4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8" t="str">
        <f t="shared" ref="R162:R225" si="15">IF(AND(F162="",H162=""),"",IF(SUM(F162,H162)=0,0,F162+H162))</f>
        <v/>
      </c>
      <c r="S162" s="8" t="str">
        <f t="shared" si="11"/>
        <v/>
      </c>
      <c r="T162" s="8" t="str">
        <f t="shared" si="12"/>
        <v/>
      </c>
      <c r="U162" s="11" t="str">
        <f t="shared" si="14"/>
        <v/>
      </c>
      <c r="V162" s="11" t="str">
        <f t="shared" si="13"/>
        <v/>
      </c>
    </row>
    <row r="163" spans="1:22" ht="15" customHeight="1">
      <c r="A163" s="4"/>
      <c r="B163" s="15"/>
      <c r="C163" s="4"/>
      <c r="D163" s="4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8" t="str">
        <f t="shared" si="15"/>
        <v/>
      </c>
      <c r="S163" s="8" t="str">
        <f t="shared" si="11"/>
        <v/>
      </c>
      <c r="T163" s="8" t="str">
        <f t="shared" si="12"/>
        <v/>
      </c>
      <c r="U163" s="11" t="str">
        <f t="shared" si="14"/>
        <v/>
      </c>
      <c r="V163" s="11" t="str">
        <f t="shared" si="13"/>
        <v/>
      </c>
    </row>
    <row r="164" spans="1:22" ht="15" customHeight="1">
      <c r="A164" s="4"/>
      <c r="B164" s="15"/>
      <c r="C164" s="4"/>
      <c r="D164" s="4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8" t="str">
        <f t="shared" si="15"/>
        <v/>
      </c>
      <c r="S164" s="8" t="str">
        <f t="shared" si="11"/>
        <v/>
      </c>
      <c r="T164" s="8" t="str">
        <f t="shared" si="12"/>
        <v/>
      </c>
      <c r="U164" s="11" t="str">
        <f t="shared" si="14"/>
        <v/>
      </c>
      <c r="V164" s="11" t="str">
        <f t="shared" si="13"/>
        <v/>
      </c>
    </row>
    <row r="165" spans="1:22" ht="15" customHeight="1">
      <c r="A165" s="4"/>
      <c r="B165" s="15"/>
      <c r="C165" s="4"/>
      <c r="D165" s="4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8" t="str">
        <f t="shared" si="15"/>
        <v/>
      </c>
      <c r="S165" s="8" t="str">
        <f t="shared" si="11"/>
        <v/>
      </c>
      <c r="T165" s="8" t="str">
        <f t="shared" si="12"/>
        <v/>
      </c>
      <c r="U165" s="11" t="str">
        <f t="shared" si="14"/>
        <v/>
      </c>
      <c r="V165" s="11" t="str">
        <f t="shared" si="13"/>
        <v/>
      </c>
    </row>
    <row r="166" spans="1:22" ht="15" customHeight="1">
      <c r="A166" s="4"/>
      <c r="B166" s="15"/>
      <c r="C166" s="4"/>
      <c r="D166" s="4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8" t="str">
        <f t="shared" si="15"/>
        <v/>
      </c>
      <c r="S166" s="8" t="str">
        <f t="shared" si="11"/>
        <v/>
      </c>
      <c r="T166" s="8" t="str">
        <f t="shared" si="12"/>
        <v/>
      </c>
      <c r="U166" s="11" t="str">
        <f t="shared" si="14"/>
        <v/>
      </c>
      <c r="V166" s="11" t="str">
        <f t="shared" si="13"/>
        <v/>
      </c>
    </row>
    <row r="167" spans="1:22" ht="15" customHeight="1">
      <c r="A167" s="4"/>
      <c r="B167" s="15"/>
      <c r="C167" s="4"/>
      <c r="D167" s="4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8" t="str">
        <f t="shared" si="15"/>
        <v/>
      </c>
      <c r="S167" s="8" t="str">
        <f t="shared" si="11"/>
        <v/>
      </c>
      <c r="T167" s="8" t="str">
        <f t="shared" si="12"/>
        <v/>
      </c>
      <c r="U167" s="11" t="str">
        <f t="shared" si="14"/>
        <v/>
      </c>
      <c r="V167" s="11" t="str">
        <f t="shared" si="13"/>
        <v/>
      </c>
    </row>
    <row r="168" spans="1:22" ht="15" customHeight="1">
      <c r="A168" s="4"/>
      <c r="B168" s="15"/>
      <c r="C168" s="4"/>
      <c r="D168" s="4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8" t="str">
        <f t="shared" si="15"/>
        <v/>
      </c>
      <c r="S168" s="8" t="str">
        <f t="shared" si="11"/>
        <v/>
      </c>
      <c r="T168" s="8" t="str">
        <f t="shared" si="12"/>
        <v/>
      </c>
      <c r="U168" s="11" t="str">
        <f t="shared" si="14"/>
        <v/>
      </c>
      <c r="V168" s="11" t="str">
        <f t="shared" si="13"/>
        <v/>
      </c>
    </row>
    <row r="169" spans="1:22" ht="15" customHeight="1">
      <c r="A169" s="4"/>
      <c r="B169" s="15"/>
      <c r="C169" s="4"/>
      <c r="D169" s="4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8" t="str">
        <f t="shared" si="15"/>
        <v/>
      </c>
      <c r="S169" s="8" t="str">
        <f t="shared" si="11"/>
        <v/>
      </c>
      <c r="T169" s="8" t="str">
        <f t="shared" si="12"/>
        <v/>
      </c>
      <c r="U169" s="11" t="str">
        <f t="shared" si="14"/>
        <v/>
      </c>
      <c r="V169" s="11" t="str">
        <f t="shared" si="13"/>
        <v/>
      </c>
    </row>
    <row r="170" spans="1:22" ht="15" customHeight="1">
      <c r="A170" s="4"/>
      <c r="B170" s="15"/>
      <c r="C170" s="4"/>
      <c r="D170" s="4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8" t="str">
        <f t="shared" si="15"/>
        <v/>
      </c>
      <c r="S170" s="8" t="str">
        <f t="shared" si="11"/>
        <v/>
      </c>
      <c r="T170" s="8" t="str">
        <f t="shared" si="12"/>
        <v/>
      </c>
      <c r="U170" s="11" t="str">
        <f t="shared" si="14"/>
        <v/>
      </c>
      <c r="V170" s="11" t="str">
        <f t="shared" si="13"/>
        <v/>
      </c>
    </row>
    <row r="171" spans="1:22" ht="15" customHeight="1">
      <c r="A171" s="4"/>
      <c r="B171" s="15"/>
      <c r="C171" s="4"/>
      <c r="D171" s="4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8" t="str">
        <f t="shared" si="15"/>
        <v/>
      </c>
      <c r="S171" s="8" t="str">
        <f t="shared" si="11"/>
        <v/>
      </c>
      <c r="T171" s="8" t="str">
        <f t="shared" si="12"/>
        <v/>
      </c>
      <c r="U171" s="11" t="str">
        <f t="shared" si="14"/>
        <v/>
      </c>
      <c r="V171" s="11" t="str">
        <f t="shared" si="13"/>
        <v/>
      </c>
    </row>
    <row r="172" spans="1:22" ht="15" customHeight="1">
      <c r="A172" s="4"/>
      <c r="B172" s="15"/>
      <c r="C172" s="4"/>
      <c r="D172" s="4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8" t="str">
        <f t="shared" si="15"/>
        <v/>
      </c>
      <c r="S172" s="8" t="str">
        <f t="shared" si="11"/>
        <v/>
      </c>
      <c r="T172" s="8" t="str">
        <f t="shared" si="12"/>
        <v/>
      </c>
      <c r="U172" s="11" t="str">
        <f t="shared" si="14"/>
        <v/>
      </c>
      <c r="V172" s="11" t="str">
        <f t="shared" si="13"/>
        <v/>
      </c>
    </row>
    <row r="173" spans="1:22" ht="15" customHeight="1">
      <c r="A173" s="4"/>
      <c r="B173" s="15"/>
      <c r="C173" s="4"/>
      <c r="D173" s="4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8" t="str">
        <f t="shared" si="15"/>
        <v/>
      </c>
      <c r="S173" s="8" t="str">
        <f t="shared" si="11"/>
        <v/>
      </c>
      <c r="T173" s="8" t="str">
        <f t="shared" si="12"/>
        <v/>
      </c>
      <c r="U173" s="11" t="str">
        <f t="shared" si="14"/>
        <v/>
      </c>
      <c r="V173" s="11" t="str">
        <f t="shared" si="13"/>
        <v/>
      </c>
    </row>
    <row r="174" spans="1:22" ht="15" customHeight="1">
      <c r="A174" s="4"/>
      <c r="B174" s="15"/>
      <c r="C174" s="4"/>
      <c r="D174" s="4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8" t="str">
        <f t="shared" si="15"/>
        <v/>
      </c>
      <c r="S174" s="8" t="str">
        <f t="shared" si="11"/>
        <v/>
      </c>
      <c r="T174" s="8" t="str">
        <f t="shared" si="12"/>
        <v/>
      </c>
      <c r="U174" s="11" t="str">
        <f t="shared" si="14"/>
        <v/>
      </c>
      <c r="V174" s="11" t="str">
        <f t="shared" si="13"/>
        <v/>
      </c>
    </row>
    <row r="175" spans="1:22" ht="15" customHeight="1">
      <c r="A175" s="4"/>
      <c r="B175" s="15"/>
      <c r="C175" s="4"/>
      <c r="D175" s="4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8" t="str">
        <f t="shared" si="15"/>
        <v/>
      </c>
      <c r="S175" s="8" t="str">
        <f t="shared" si="11"/>
        <v/>
      </c>
      <c r="T175" s="8" t="str">
        <f t="shared" si="12"/>
        <v/>
      </c>
      <c r="U175" s="11" t="str">
        <f t="shared" si="14"/>
        <v/>
      </c>
      <c r="V175" s="11" t="str">
        <f t="shared" si="13"/>
        <v/>
      </c>
    </row>
    <row r="176" spans="1:22" ht="15" customHeight="1">
      <c r="A176" s="4"/>
      <c r="B176" s="15"/>
      <c r="C176" s="4"/>
      <c r="D176" s="4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8" t="str">
        <f t="shared" si="15"/>
        <v/>
      </c>
      <c r="S176" s="8" t="str">
        <f t="shared" si="11"/>
        <v/>
      </c>
      <c r="T176" s="8" t="str">
        <f t="shared" si="12"/>
        <v/>
      </c>
      <c r="U176" s="11" t="str">
        <f t="shared" si="14"/>
        <v/>
      </c>
      <c r="V176" s="11" t="str">
        <f t="shared" si="13"/>
        <v/>
      </c>
    </row>
    <row r="177" spans="1:22" ht="15" customHeight="1">
      <c r="A177" s="4"/>
      <c r="B177" s="15"/>
      <c r="C177" s="4"/>
      <c r="D177" s="4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8" t="str">
        <f t="shared" si="15"/>
        <v/>
      </c>
      <c r="S177" s="8" t="str">
        <f t="shared" si="11"/>
        <v/>
      </c>
      <c r="T177" s="8" t="str">
        <f t="shared" si="12"/>
        <v/>
      </c>
      <c r="U177" s="11" t="str">
        <f t="shared" si="14"/>
        <v/>
      </c>
      <c r="V177" s="11" t="str">
        <f t="shared" si="13"/>
        <v/>
      </c>
    </row>
    <row r="178" spans="1:22" ht="15" customHeight="1">
      <c r="A178" s="4"/>
      <c r="B178" s="15"/>
      <c r="C178" s="4"/>
      <c r="D178" s="4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8" t="str">
        <f t="shared" si="15"/>
        <v/>
      </c>
      <c r="S178" s="8" t="str">
        <f t="shared" si="11"/>
        <v/>
      </c>
      <c r="T178" s="8" t="str">
        <f t="shared" si="12"/>
        <v/>
      </c>
      <c r="U178" s="11" t="str">
        <f t="shared" si="14"/>
        <v/>
      </c>
      <c r="V178" s="11" t="str">
        <f t="shared" si="13"/>
        <v/>
      </c>
    </row>
    <row r="179" spans="1:22" ht="15" customHeight="1">
      <c r="A179" s="4"/>
      <c r="B179" s="15"/>
      <c r="C179" s="4"/>
      <c r="D179" s="4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8" t="str">
        <f t="shared" si="15"/>
        <v/>
      </c>
      <c r="S179" s="8" t="str">
        <f t="shared" si="11"/>
        <v/>
      </c>
      <c r="T179" s="8" t="str">
        <f t="shared" si="12"/>
        <v/>
      </c>
      <c r="U179" s="11" t="str">
        <f t="shared" si="14"/>
        <v/>
      </c>
      <c r="V179" s="11" t="str">
        <f t="shared" si="13"/>
        <v/>
      </c>
    </row>
    <row r="180" spans="1:22" ht="15" customHeight="1">
      <c r="A180" s="4"/>
      <c r="B180" s="15"/>
      <c r="C180" s="4"/>
      <c r="D180" s="4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8" t="str">
        <f t="shared" si="15"/>
        <v/>
      </c>
      <c r="S180" s="8" t="str">
        <f t="shared" si="11"/>
        <v/>
      </c>
      <c r="T180" s="8" t="str">
        <f t="shared" si="12"/>
        <v/>
      </c>
      <c r="U180" s="11" t="str">
        <f t="shared" si="14"/>
        <v/>
      </c>
      <c r="V180" s="11" t="str">
        <f t="shared" si="13"/>
        <v/>
      </c>
    </row>
    <row r="181" spans="1:22" ht="15" customHeight="1">
      <c r="A181" s="4"/>
      <c r="B181" s="15"/>
      <c r="C181" s="4"/>
      <c r="D181" s="4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8" t="str">
        <f t="shared" si="15"/>
        <v/>
      </c>
      <c r="S181" s="8" t="str">
        <f t="shared" si="11"/>
        <v/>
      </c>
      <c r="T181" s="8" t="str">
        <f t="shared" si="12"/>
        <v/>
      </c>
      <c r="U181" s="11" t="str">
        <f t="shared" si="14"/>
        <v/>
      </c>
      <c r="V181" s="11" t="str">
        <f t="shared" si="13"/>
        <v/>
      </c>
    </row>
    <row r="182" spans="1:22" ht="15" customHeight="1">
      <c r="A182" s="4"/>
      <c r="B182" s="15"/>
      <c r="C182" s="4"/>
      <c r="D182" s="4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8" t="str">
        <f t="shared" si="15"/>
        <v/>
      </c>
      <c r="S182" s="8" t="str">
        <f t="shared" si="11"/>
        <v/>
      </c>
      <c r="T182" s="8" t="str">
        <f t="shared" si="12"/>
        <v/>
      </c>
      <c r="U182" s="11" t="str">
        <f t="shared" si="14"/>
        <v/>
      </c>
      <c r="V182" s="11" t="str">
        <f t="shared" si="13"/>
        <v/>
      </c>
    </row>
    <row r="183" spans="1:22" ht="15" customHeight="1">
      <c r="A183" s="4"/>
      <c r="B183" s="15"/>
      <c r="C183" s="4"/>
      <c r="D183" s="4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8" t="str">
        <f t="shared" si="15"/>
        <v/>
      </c>
      <c r="S183" s="8" t="str">
        <f t="shared" si="11"/>
        <v/>
      </c>
      <c r="T183" s="8" t="str">
        <f t="shared" si="12"/>
        <v/>
      </c>
      <c r="U183" s="11" t="str">
        <f t="shared" si="14"/>
        <v/>
      </c>
      <c r="V183" s="11" t="str">
        <f t="shared" si="13"/>
        <v/>
      </c>
    </row>
    <row r="184" spans="1:22" ht="15" customHeight="1">
      <c r="A184" s="4"/>
      <c r="B184" s="15"/>
      <c r="C184" s="4"/>
      <c r="D184" s="4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8" t="str">
        <f t="shared" si="15"/>
        <v/>
      </c>
      <c r="S184" s="8" t="str">
        <f t="shared" si="11"/>
        <v/>
      </c>
      <c r="T184" s="8" t="str">
        <f t="shared" si="12"/>
        <v/>
      </c>
      <c r="U184" s="11" t="str">
        <f t="shared" si="14"/>
        <v/>
      </c>
      <c r="V184" s="11" t="str">
        <f t="shared" si="13"/>
        <v/>
      </c>
    </row>
    <row r="185" spans="1:22" ht="15" customHeight="1">
      <c r="A185" s="4"/>
      <c r="B185" s="15"/>
      <c r="C185" s="4"/>
      <c r="D185" s="4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8" t="str">
        <f t="shared" si="15"/>
        <v/>
      </c>
      <c r="S185" s="8" t="str">
        <f t="shared" si="11"/>
        <v/>
      </c>
      <c r="T185" s="8" t="str">
        <f t="shared" si="12"/>
        <v/>
      </c>
      <c r="U185" s="11" t="str">
        <f t="shared" si="14"/>
        <v/>
      </c>
      <c r="V185" s="11" t="str">
        <f t="shared" si="13"/>
        <v/>
      </c>
    </row>
    <row r="186" spans="1:22" ht="15" customHeight="1">
      <c r="A186" s="4"/>
      <c r="B186" s="15"/>
      <c r="C186" s="4"/>
      <c r="D186" s="4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8" t="str">
        <f t="shared" si="15"/>
        <v/>
      </c>
      <c r="S186" s="8" t="str">
        <f t="shared" si="11"/>
        <v/>
      </c>
      <c r="T186" s="8" t="str">
        <f t="shared" si="12"/>
        <v/>
      </c>
      <c r="U186" s="11" t="str">
        <f t="shared" si="14"/>
        <v/>
      </c>
      <c r="V186" s="11" t="str">
        <f t="shared" si="13"/>
        <v/>
      </c>
    </row>
    <row r="187" spans="1:22" ht="15" customHeight="1">
      <c r="A187" s="4"/>
      <c r="B187" s="15"/>
      <c r="C187" s="4"/>
      <c r="D187" s="4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8" t="str">
        <f t="shared" si="15"/>
        <v/>
      </c>
      <c r="S187" s="8" t="str">
        <f t="shared" si="11"/>
        <v/>
      </c>
      <c r="T187" s="8" t="str">
        <f t="shared" si="12"/>
        <v/>
      </c>
      <c r="U187" s="11" t="str">
        <f t="shared" si="14"/>
        <v/>
      </c>
      <c r="V187" s="11" t="str">
        <f t="shared" si="13"/>
        <v/>
      </c>
    </row>
    <row r="188" spans="1:22" ht="15" customHeight="1">
      <c r="A188" s="4"/>
      <c r="B188" s="15"/>
      <c r="C188" s="4"/>
      <c r="D188" s="4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8" t="str">
        <f t="shared" si="15"/>
        <v/>
      </c>
      <c r="S188" s="8" t="str">
        <f t="shared" si="11"/>
        <v/>
      </c>
      <c r="T188" s="8" t="str">
        <f t="shared" si="12"/>
        <v/>
      </c>
      <c r="U188" s="11" t="str">
        <f t="shared" si="14"/>
        <v/>
      </c>
      <c r="V188" s="11" t="str">
        <f t="shared" si="13"/>
        <v/>
      </c>
    </row>
    <row r="189" spans="1:22" ht="15" customHeight="1">
      <c r="A189" s="4"/>
      <c r="B189" s="15"/>
      <c r="C189" s="4"/>
      <c r="D189" s="4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8" t="str">
        <f t="shared" si="15"/>
        <v/>
      </c>
      <c r="S189" s="8" t="str">
        <f t="shared" si="11"/>
        <v/>
      </c>
      <c r="T189" s="8" t="str">
        <f t="shared" si="12"/>
        <v/>
      </c>
      <c r="U189" s="11" t="str">
        <f t="shared" si="14"/>
        <v/>
      </c>
      <c r="V189" s="11" t="str">
        <f t="shared" si="13"/>
        <v/>
      </c>
    </row>
    <row r="190" spans="1:22" ht="15" customHeight="1">
      <c r="A190" s="4"/>
      <c r="B190" s="15"/>
      <c r="C190" s="4"/>
      <c r="D190" s="4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8" t="str">
        <f t="shared" si="15"/>
        <v/>
      </c>
      <c r="S190" s="8" t="str">
        <f t="shared" si="11"/>
        <v/>
      </c>
      <c r="T190" s="8" t="str">
        <f t="shared" si="12"/>
        <v/>
      </c>
      <c r="U190" s="11" t="str">
        <f t="shared" si="14"/>
        <v/>
      </c>
      <c r="V190" s="11" t="str">
        <f t="shared" si="13"/>
        <v/>
      </c>
    </row>
    <row r="191" spans="1:22" ht="15" customHeight="1">
      <c r="A191" s="4"/>
      <c r="B191" s="15"/>
      <c r="C191" s="4"/>
      <c r="D191" s="4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8" t="str">
        <f t="shared" si="15"/>
        <v/>
      </c>
      <c r="S191" s="8" t="str">
        <f t="shared" si="11"/>
        <v/>
      </c>
      <c r="T191" s="8" t="str">
        <f t="shared" si="12"/>
        <v/>
      </c>
      <c r="U191" s="11" t="str">
        <f t="shared" si="14"/>
        <v/>
      </c>
      <c r="V191" s="11" t="str">
        <f t="shared" si="13"/>
        <v/>
      </c>
    </row>
    <row r="192" spans="1:22" ht="15" customHeight="1">
      <c r="A192" s="4"/>
      <c r="B192" s="15"/>
      <c r="C192" s="4"/>
      <c r="D192" s="4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8" t="str">
        <f t="shared" si="15"/>
        <v/>
      </c>
      <c r="S192" s="8" t="str">
        <f t="shared" si="11"/>
        <v/>
      </c>
      <c r="T192" s="8" t="str">
        <f t="shared" si="12"/>
        <v/>
      </c>
      <c r="U192" s="11" t="str">
        <f t="shared" si="14"/>
        <v/>
      </c>
      <c r="V192" s="11" t="str">
        <f t="shared" si="13"/>
        <v/>
      </c>
    </row>
    <row r="193" spans="1:22" ht="15" customHeight="1">
      <c r="A193" s="4"/>
      <c r="B193" s="15"/>
      <c r="C193" s="4"/>
      <c r="D193" s="4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8" t="str">
        <f t="shared" si="15"/>
        <v/>
      </c>
      <c r="S193" s="8" t="str">
        <f t="shared" si="11"/>
        <v/>
      </c>
      <c r="T193" s="8" t="str">
        <f t="shared" si="12"/>
        <v/>
      </c>
      <c r="U193" s="11" t="str">
        <f t="shared" si="14"/>
        <v/>
      </c>
      <c r="V193" s="11" t="str">
        <f t="shared" si="13"/>
        <v/>
      </c>
    </row>
    <row r="194" spans="1:22" ht="15" customHeight="1">
      <c r="A194" s="4"/>
      <c r="B194" s="15"/>
      <c r="C194" s="4"/>
      <c r="D194" s="4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8" t="str">
        <f t="shared" si="15"/>
        <v/>
      </c>
      <c r="S194" s="8" t="str">
        <f t="shared" si="11"/>
        <v/>
      </c>
      <c r="T194" s="8" t="str">
        <f t="shared" si="12"/>
        <v/>
      </c>
      <c r="U194" s="11" t="str">
        <f t="shared" si="14"/>
        <v/>
      </c>
      <c r="V194" s="11" t="str">
        <f t="shared" si="13"/>
        <v/>
      </c>
    </row>
    <row r="195" spans="1:22" ht="15" customHeight="1">
      <c r="A195" s="4"/>
      <c r="B195" s="15"/>
      <c r="C195" s="4"/>
      <c r="D195" s="4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8" t="str">
        <f t="shared" si="15"/>
        <v/>
      </c>
      <c r="S195" s="8" t="str">
        <f t="shared" si="11"/>
        <v/>
      </c>
      <c r="T195" s="8" t="str">
        <f t="shared" si="12"/>
        <v/>
      </c>
      <c r="U195" s="11" t="str">
        <f t="shared" si="14"/>
        <v/>
      </c>
      <c r="V195" s="11" t="str">
        <f t="shared" si="13"/>
        <v/>
      </c>
    </row>
    <row r="196" spans="1:22" ht="15" customHeight="1">
      <c r="A196" s="4"/>
      <c r="B196" s="15"/>
      <c r="C196" s="4"/>
      <c r="D196" s="4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8" t="str">
        <f t="shared" si="15"/>
        <v/>
      </c>
      <c r="S196" s="8" t="str">
        <f t="shared" ref="S196:S259" si="16">IF(SUM(G196,I196)=0,"",G196+I196)</f>
        <v/>
      </c>
      <c r="T196" s="8" t="str">
        <f t="shared" ref="T196:T259" si="17">IF(SUM(F196,H196,J196)=0,"",F196*2+H196*3+J196)</f>
        <v/>
      </c>
      <c r="U196" s="11" t="str">
        <f t="shared" si="14"/>
        <v/>
      </c>
      <c r="V196" s="11" t="str">
        <f t="shared" ref="V196:V259" si="18">IF(K196=0,"",J196/K196)</f>
        <v/>
      </c>
    </row>
    <row r="197" spans="1:22" ht="15" customHeight="1">
      <c r="A197" s="4"/>
      <c r="B197" s="15"/>
      <c r="C197" s="4"/>
      <c r="D197" s="4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8" t="str">
        <f t="shared" si="15"/>
        <v/>
      </c>
      <c r="S197" s="8" t="str">
        <f t="shared" si="16"/>
        <v/>
      </c>
      <c r="T197" s="8" t="str">
        <f t="shared" si="17"/>
        <v/>
      </c>
      <c r="U197" s="11" t="str">
        <f t="shared" ref="U197:U260" si="19">IF(S197="","",IF(R197="",0,R197/S197))</f>
        <v/>
      </c>
      <c r="V197" s="11" t="str">
        <f t="shared" si="18"/>
        <v/>
      </c>
    </row>
    <row r="198" spans="1:22" ht="15" customHeight="1">
      <c r="A198" s="4"/>
      <c r="B198" s="15"/>
      <c r="C198" s="4"/>
      <c r="D198" s="4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8" t="str">
        <f t="shared" si="15"/>
        <v/>
      </c>
      <c r="S198" s="8" t="str">
        <f t="shared" si="16"/>
        <v/>
      </c>
      <c r="T198" s="8" t="str">
        <f t="shared" si="17"/>
        <v/>
      </c>
      <c r="U198" s="11" t="str">
        <f t="shared" si="19"/>
        <v/>
      </c>
      <c r="V198" s="11" t="str">
        <f t="shared" si="18"/>
        <v/>
      </c>
    </row>
    <row r="199" spans="1:22" ht="15" customHeight="1">
      <c r="A199" s="4"/>
      <c r="B199" s="15"/>
      <c r="C199" s="4"/>
      <c r="D199" s="4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8" t="str">
        <f t="shared" si="15"/>
        <v/>
      </c>
      <c r="S199" s="8" t="str">
        <f t="shared" si="16"/>
        <v/>
      </c>
      <c r="T199" s="8" t="str">
        <f t="shared" si="17"/>
        <v/>
      </c>
      <c r="U199" s="11" t="str">
        <f t="shared" si="19"/>
        <v/>
      </c>
      <c r="V199" s="11" t="str">
        <f t="shared" si="18"/>
        <v/>
      </c>
    </row>
    <row r="200" spans="1:22" ht="15" customHeight="1">
      <c r="A200" s="4"/>
      <c r="B200" s="15"/>
      <c r="C200" s="4"/>
      <c r="D200" s="4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8" t="str">
        <f t="shared" si="15"/>
        <v/>
      </c>
      <c r="S200" s="8" t="str">
        <f t="shared" si="16"/>
        <v/>
      </c>
      <c r="T200" s="8" t="str">
        <f t="shared" si="17"/>
        <v/>
      </c>
      <c r="U200" s="11" t="str">
        <f t="shared" si="19"/>
        <v/>
      </c>
      <c r="V200" s="11" t="str">
        <f t="shared" si="18"/>
        <v/>
      </c>
    </row>
    <row r="201" spans="1:22" ht="15" customHeight="1">
      <c r="A201" s="4"/>
      <c r="B201" s="15"/>
      <c r="C201" s="4"/>
      <c r="D201" s="4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8" t="str">
        <f t="shared" si="15"/>
        <v/>
      </c>
      <c r="S201" s="8" t="str">
        <f t="shared" si="16"/>
        <v/>
      </c>
      <c r="T201" s="8" t="str">
        <f t="shared" si="17"/>
        <v/>
      </c>
      <c r="U201" s="11" t="str">
        <f t="shared" si="19"/>
        <v/>
      </c>
      <c r="V201" s="11" t="str">
        <f t="shared" si="18"/>
        <v/>
      </c>
    </row>
    <row r="202" spans="1:22" ht="15" customHeight="1">
      <c r="A202" s="4"/>
      <c r="B202" s="15"/>
      <c r="C202" s="4"/>
      <c r="D202" s="4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8" t="str">
        <f t="shared" si="15"/>
        <v/>
      </c>
      <c r="S202" s="8" t="str">
        <f t="shared" si="16"/>
        <v/>
      </c>
      <c r="T202" s="8" t="str">
        <f t="shared" si="17"/>
        <v/>
      </c>
      <c r="U202" s="11" t="str">
        <f t="shared" si="19"/>
        <v/>
      </c>
      <c r="V202" s="11" t="str">
        <f t="shared" si="18"/>
        <v/>
      </c>
    </row>
    <row r="203" spans="1:22" ht="15" customHeight="1">
      <c r="A203" s="4"/>
      <c r="B203" s="15"/>
      <c r="C203" s="4"/>
      <c r="D203" s="4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8" t="str">
        <f t="shared" si="15"/>
        <v/>
      </c>
      <c r="S203" s="8" t="str">
        <f t="shared" si="16"/>
        <v/>
      </c>
      <c r="T203" s="8" t="str">
        <f t="shared" si="17"/>
        <v/>
      </c>
      <c r="U203" s="11" t="str">
        <f t="shared" si="19"/>
        <v/>
      </c>
      <c r="V203" s="11" t="str">
        <f t="shared" si="18"/>
        <v/>
      </c>
    </row>
    <row r="204" spans="1:22" ht="15" customHeight="1">
      <c r="A204" s="4"/>
      <c r="B204" s="15"/>
      <c r="C204" s="4"/>
      <c r="D204" s="4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8" t="str">
        <f t="shared" si="15"/>
        <v/>
      </c>
      <c r="S204" s="8" t="str">
        <f t="shared" si="16"/>
        <v/>
      </c>
      <c r="T204" s="8" t="str">
        <f t="shared" si="17"/>
        <v/>
      </c>
      <c r="U204" s="11" t="str">
        <f t="shared" si="19"/>
        <v/>
      </c>
      <c r="V204" s="11" t="str">
        <f t="shared" si="18"/>
        <v/>
      </c>
    </row>
    <row r="205" spans="1:22" ht="15" customHeight="1">
      <c r="A205" s="4"/>
      <c r="B205" s="15"/>
      <c r="C205" s="4"/>
      <c r="D205" s="4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8" t="str">
        <f t="shared" si="15"/>
        <v/>
      </c>
      <c r="S205" s="8" t="str">
        <f t="shared" si="16"/>
        <v/>
      </c>
      <c r="T205" s="8" t="str">
        <f t="shared" si="17"/>
        <v/>
      </c>
      <c r="U205" s="11" t="str">
        <f t="shared" si="19"/>
        <v/>
      </c>
      <c r="V205" s="11" t="str">
        <f t="shared" si="18"/>
        <v/>
      </c>
    </row>
    <row r="206" spans="1:22" ht="15" customHeight="1">
      <c r="A206" s="4"/>
      <c r="B206" s="15"/>
      <c r="C206" s="4"/>
      <c r="D206" s="4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8" t="str">
        <f t="shared" si="15"/>
        <v/>
      </c>
      <c r="S206" s="8" t="str">
        <f t="shared" si="16"/>
        <v/>
      </c>
      <c r="T206" s="8" t="str">
        <f t="shared" si="17"/>
        <v/>
      </c>
      <c r="U206" s="11" t="str">
        <f t="shared" si="19"/>
        <v/>
      </c>
      <c r="V206" s="11" t="str">
        <f t="shared" si="18"/>
        <v/>
      </c>
    </row>
    <row r="207" spans="1:22" ht="15" customHeight="1">
      <c r="A207" s="4"/>
      <c r="B207" s="15"/>
      <c r="C207" s="4"/>
      <c r="D207" s="4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8" t="str">
        <f t="shared" si="15"/>
        <v/>
      </c>
      <c r="S207" s="8" t="str">
        <f t="shared" si="16"/>
        <v/>
      </c>
      <c r="T207" s="8" t="str">
        <f t="shared" si="17"/>
        <v/>
      </c>
      <c r="U207" s="11" t="str">
        <f t="shared" si="19"/>
        <v/>
      </c>
      <c r="V207" s="11" t="str">
        <f t="shared" si="18"/>
        <v/>
      </c>
    </row>
    <row r="208" spans="1:22" ht="15" customHeight="1">
      <c r="A208" s="4"/>
      <c r="B208" s="15"/>
      <c r="C208" s="4"/>
      <c r="D208" s="4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8" t="str">
        <f t="shared" si="15"/>
        <v/>
      </c>
      <c r="S208" s="8" t="str">
        <f t="shared" si="16"/>
        <v/>
      </c>
      <c r="T208" s="8" t="str">
        <f t="shared" si="17"/>
        <v/>
      </c>
      <c r="U208" s="11" t="str">
        <f t="shared" si="19"/>
        <v/>
      </c>
      <c r="V208" s="11" t="str">
        <f t="shared" si="18"/>
        <v/>
      </c>
    </row>
    <row r="209" spans="1:22" ht="15" customHeight="1">
      <c r="A209" s="4"/>
      <c r="B209" s="15"/>
      <c r="C209" s="4"/>
      <c r="D209" s="4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8" t="str">
        <f t="shared" si="15"/>
        <v/>
      </c>
      <c r="S209" s="8" t="str">
        <f t="shared" si="16"/>
        <v/>
      </c>
      <c r="T209" s="8" t="str">
        <f t="shared" si="17"/>
        <v/>
      </c>
      <c r="U209" s="11" t="str">
        <f t="shared" si="19"/>
        <v/>
      </c>
      <c r="V209" s="11" t="str">
        <f t="shared" si="18"/>
        <v/>
      </c>
    </row>
    <row r="210" spans="1:22" ht="15" customHeight="1">
      <c r="A210" s="4"/>
      <c r="B210" s="15"/>
      <c r="C210" s="4"/>
      <c r="D210" s="4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8" t="str">
        <f t="shared" si="15"/>
        <v/>
      </c>
      <c r="S210" s="8" t="str">
        <f t="shared" si="16"/>
        <v/>
      </c>
      <c r="T210" s="8" t="str">
        <f t="shared" si="17"/>
        <v/>
      </c>
      <c r="U210" s="11" t="str">
        <f t="shared" si="19"/>
        <v/>
      </c>
      <c r="V210" s="11" t="str">
        <f t="shared" si="18"/>
        <v/>
      </c>
    </row>
    <row r="211" spans="1:22" ht="15" customHeight="1">
      <c r="A211" s="4"/>
      <c r="B211" s="15"/>
      <c r="C211" s="4"/>
      <c r="D211" s="4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8" t="str">
        <f t="shared" si="15"/>
        <v/>
      </c>
      <c r="S211" s="8" t="str">
        <f t="shared" si="16"/>
        <v/>
      </c>
      <c r="T211" s="8" t="str">
        <f t="shared" si="17"/>
        <v/>
      </c>
      <c r="U211" s="11" t="str">
        <f t="shared" si="19"/>
        <v/>
      </c>
      <c r="V211" s="11" t="str">
        <f t="shared" si="18"/>
        <v/>
      </c>
    </row>
    <row r="212" spans="1:22" ht="15" customHeight="1">
      <c r="A212" s="4"/>
      <c r="B212" s="15"/>
      <c r="C212" s="4"/>
      <c r="D212" s="4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8" t="str">
        <f t="shared" si="15"/>
        <v/>
      </c>
      <c r="S212" s="8" t="str">
        <f t="shared" si="16"/>
        <v/>
      </c>
      <c r="T212" s="8" t="str">
        <f t="shared" si="17"/>
        <v/>
      </c>
      <c r="U212" s="11" t="str">
        <f t="shared" si="19"/>
        <v/>
      </c>
      <c r="V212" s="11" t="str">
        <f t="shared" si="18"/>
        <v/>
      </c>
    </row>
    <row r="213" spans="1:22" ht="15" customHeight="1">
      <c r="A213" s="4"/>
      <c r="B213" s="15"/>
      <c r="C213" s="4"/>
      <c r="D213" s="4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8" t="str">
        <f t="shared" si="15"/>
        <v/>
      </c>
      <c r="S213" s="8" t="str">
        <f t="shared" si="16"/>
        <v/>
      </c>
      <c r="T213" s="8" t="str">
        <f t="shared" si="17"/>
        <v/>
      </c>
      <c r="U213" s="11" t="str">
        <f t="shared" si="19"/>
        <v/>
      </c>
      <c r="V213" s="11" t="str">
        <f t="shared" si="18"/>
        <v/>
      </c>
    </row>
    <row r="214" spans="1:22" ht="15" customHeight="1">
      <c r="A214" s="4"/>
      <c r="B214" s="15"/>
      <c r="C214" s="4"/>
      <c r="D214" s="4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8" t="str">
        <f t="shared" si="15"/>
        <v/>
      </c>
      <c r="S214" s="8" t="str">
        <f t="shared" si="16"/>
        <v/>
      </c>
      <c r="T214" s="8" t="str">
        <f t="shared" si="17"/>
        <v/>
      </c>
      <c r="U214" s="11" t="str">
        <f t="shared" si="19"/>
        <v/>
      </c>
      <c r="V214" s="11" t="str">
        <f t="shared" si="18"/>
        <v/>
      </c>
    </row>
    <row r="215" spans="1:22" ht="15" customHeight="1">
      <c r="A215" s="4"/>
      <c r="B215" s="15"/>
      <c r="C215" s="4"/>
      <c r="D215" s="4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8" t="str">
        <f t="shared" si="15"/>
        <v/>
      </c>
      <c r="S215" s="8" t="str">
        <f t="shared" si="16"/>
        <v/>
      </c>
      <c r="T215" s="8" t="str">
        <f t="shared" si="17"/>
        <v/>
      </c>
      <c r="U215" s="11" t="str">
        <f t="shared" si="19"/>
        <v/>
      </c>
      <c r="V215" s="11" t="str">
        <f t="shared" si="18"/>
        <v/>
      </c>
    </row>
    <row r="216" spans="1:22" ht="15" customHeight="1">
      <c r="A216" s="4"/>
      <c r="B216" s="15"/>
      <c r="C216" s="4"/>
      <c r="D216" s="4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8" t="str">
        <f t="shared" si="15"/>
        <v/>
      </c>
      <c r="S216" s="8" t="str">
        <f t="shared" si="16"/>
        <v/>
      </c>
      <c r="T216" s="8" t="str">
        <f t="shared" si="17"/>
        <v/>
      </c>
      <c r="U216" s="11" t="str">
        <f t="shared" si="19"/>
        <v/>
      </c>
      <c r="V216" s="11" t="str">
        <f t="shared" si="18"/>
        <v/>
      </c>
    </row>
    <row r="217" spans="1:22" ht="15" customHeight="1">
      <c r="A217" s="4"/>
      <c r="B217" s="15"/>
      <c r="C217" s="4"/>
      <c r="D217" s="4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8" t="str">
        <f t="shared" si="15"/>
        <v/>
      </c>
      <c r="S217" s="8" t="str">
        <f t="shared" si="16"/>
        <v/>
      </c>
      <c r="T217" s="8" t="str">
        <f t="shared" si="17"/>
        <v/>
      </c>
      <c r="U217" s="11" t="str">
        <f t="shared" si="19"/>
        <v/>
      </c>
      <c r="V217" s="11" t="str">
        <f t="shared" si="18"/>
        <v/>
      </c>
    </row>
    <row r="218" spans="1:22" ht="15" customHeight="1">
      <c r="A218" s="4"/>
      <c r="B218" s="15"/>
      <c r="C218" s="4"/>
      <c r="D218" s="4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8" t="str">
        <f t="shared" si="15"/>
        <v/>
      </c>
      <c r="S218" s="8" t="str">
        <f t="shared" si="16"/>
        <v/>
      </c>
      <c r="T218" s="8" t="str">
        <f t="shared" si="17"/>
        <v/>
      </c>
      <c r="U218" s="11" t="str">
        <f t="shared" si="19"/>
        <v/>
      </c>
      <c r="V218" s="11" t="str">
        <f t="shared" si="18"/>
        <v/>
      </c>
    </row>
    <row r="219" spans="1:22" ht="15" customHeight="1">
      <c r="A219" s="4"/>
      <c r="B219" s="15"/>
      <c r="C219" s="4"/>
      <c r="D219" s="4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8" t="str">
        <f t="shared" si="15"/>
        <v/>
      </c>
      <c r="S219" s="8" t="str">
        <f t="shared" si="16"/>
        <v/>
      </c>
      <c r="T219" s="8" t="str">
        <f t="shared" si="17"/>
        <v/>
      </c>
      <c r="U219" s="11" t="str">
        <f t="shared" si="19"/>
        <v/>
      </c>
      <c r="V219" s="11" t="str">
        <f t="shared" si="18"/>
        <v/>
      </c>
    </row>
    <row r="220" spans="1:22" ht="15" customHeight="1">
      <c r="A220" s="4"/>
      <c r="B220" s="15"/>
      <c r="C220" s="4"/>
      <c r="D220" s="4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8" t="str">
        <f t="shared" si="15"/>
        <v/>
      </c>
      <c r="S220" s="8" t="str">
        <f t="shared" si="16"/>
        <v/>
      </c>
      <c r="T220" s="8" t="str">
        <f t="shared" si="17"/>
        <v/>
      </c>
      <c r="U220" s="11" t="str">
        <f t="shared" si="19"/>
        <v/>
      </c>
      <c r="V220" s="11" t="str">
        <f t="shared" si="18"/>
        <v/>
      </c>
    </row>
    <row r="221" spans="1:22" ht="15" customHeight="1">
      <c r="A221" s="4"/>
      <c r="B221" s="15"/>
      <c r="C221" s="4"/>
      <c r="D221" s="4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8" t="str">
        <f t="shared" si="15"/>
        <v/>
      </c>
      <c r="S221" s="8" t="str">
        <f t="shared" si="16"/>
        <v/>
      </c>
      <c r="T221" s="8" t="str">
        <f t="shared" si="17"/>
        <v/>
      </c>
      <c r="U221" s="11" t="str">
        <f t="shared" si="19"/>
        <v/>
      </c>
      <c r="V221" s="11" t="str">
        <f t="shared" si="18"/>
        <v/>
      </c>
    </row>
    <row r="222" spans="1:22" ht="15" customHeight="1">
      <c r="A222" s="4"/>
      <c r="B222" s="15"/>
      <c r="C222" s="4"/>
      <c r="D222" s="4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8" t="str">
        <f t="shared" si="15"/>
        <v/>
      </c>
      <c r="S222" s="8" t="str">
        <f t="shared" si="16"/>
        <v/>
      </c>
      <c r="T222" s="8" t="str">
        <f t="shared" si="17"/>
        <v/>
      </c>
      <c r="U222" s="11" t="str">
        <f t="shared" si="19"/>
        <v/>
      </c>
      <c r="V222" s="11" t="str">
        <f t="shared" si="18"/>
        <v/>
      </c>
    </row>
    <row r="223" spans="1:22" ht="15" customHeight="1">
      <c r="A223" s="4"/>
      <c r="B223" s="15"/>
      <c r="C223" s="4"/>
      <c r="D223" s="4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8" t="str">
        <f t="shared" si="15"/>
        <v/>
      </c>
      <c r="S223" s="8" t="str">
        <f t="shared" si="16"/>
        <v/>
      </c>
      <c r="T223" s="8" t="str">
        <f t="shared" si="17"/>
        <v/>
      </c>
      <c r="U223" s="11" t="str">
        <f t="shared" si="19"/>
        <v/>
      </c>
      <c r="V223" s="11" t="str">
        <f t="shared" si="18"/>
        <v/>
      </c>
    </row>
    <row r="224" spans="1:22" ht="15" customHeight="1">
      <c r="A224" s="4"/>
      <c r="B224" s="15"/>
      <c r="C224" s="4"/>
      <c r="D224" s="4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8" t="str">
        <f t="shared" si="15"/>
        <v/>
      </c>
      <c r="S224" s="8" t="str">
        <f t="shared" si="16"/>
        <v/>
      </c>
      <c r="T224" s="8" t="str">
        <f t="shared" si="17"/>
        <v/>
      </c>
      <c r="U224" s="11" t="str">
        <f t="shared" si="19"/>
        <v/>
      </c>
      <c r="V224" s="11" t="str">
        <f t="shared" si="18"/>
        <v/>
      </c>
    </row>
    <row r="225" spans="1:22" ht="15" customHeight="1">
      <c r="A225" s="4"/>
      <c r="B225" s="15"/>
      <c r="C225" s="4"/>
      <c r="D225" s="4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8" t="str">
        <f t="shared" si="15"/>
        <v/>
      </c>
      <c r="S225" s="8" t="str">
        <f t="shared" si="16"/>
        <v/>
      </c>
      <c r="T225" s="8" t="str">
        <f t="shared" si="17"/>
        <v/>
      </c>
      <c r="U225" s="11" t="str">
        <f t="shared" si="19"/>
        <v/>
      </c>
      <c r="V225" s="11" t="str">
        <f t="shared" si="18"/>
        <v/>
      </c>
    </row>
    <row r="226" spans="1:22" ht="15" customHeight="1">
      <c r="A226" s="4"/>
      <c r="B226" s="15"/>
      <c r="C226" s="4"/>
      <c r="D226" s="4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8" t="str">
        <f t="shared" ref="R226:R289" si="20">IF(AND(F226="",H226=""),"",IF(SUM(F226,H226)=0,0,F226+H226))</f>
        <v/>
      </c>
      <c r="S226" s="8" t="str">
        <f t="shared" si="16"/>
        <v/>
      </c>
      <c r="T226" s="8" t="str">
        <f t="shared" si="17"/>
        <v/>
      </c>
      <c r="U226" s="11" t="str">
        <f t="shared" si="19"/>
        <v/>
      </c>
      <c r="V226" s="11" t="str">
        <f t="shared" si="18"/>
        <v/>
      </c>
    </row>
    <row r="227" spans="1:22" ht="15" customHeight="1">
      <c r="A227" s="4"/>
      <c r="B227" s="15"/>
      <c r="C227" s="4"/>
      <c r="D227" s="4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8" t="str">
        <f t="shared" si="20"/>
        <v/>
      </c>
      <c r="S227" s="8" t="str">
        <f t="shared" si="16"/>
        <v/>
      </c>
      <c r="T227" s="8" t="str">
        <f t="shared" si="17"/>
        <v/>
      </c>
      <c r="U227" s="11" t="str">
        <f t="shared" si="19"/>
        <v/>
      </c>
      <c r="V227" s="11" t="str">
        <f t="shared" si="18"/>
        <v/>
      </c>
    </row>
    <row r="228" spans="1:22" ht="15" customHeight="1">
      <c r="A228" s="4"/>
      <c r="B228" s="15"/>
      <c r="C228" s="4"/>
      <c r="D228" s="4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8" t="str">
        <f t="shared" si="20"/>
        <v/>
      </c>
      <c r="S228" s="8" t="str">
        <f t="shared" si="16"/>
        <v/>
      </c>
      <c r="T228" s="8" t="str">
        <f t="shared" si="17"/>
        <v/>
      </c>
      <c r="U228" s="11" t="str">
        <f t="shared" si="19"/>
        <v/>
      </c>
      <c r="V228" s="11" t="str">
        <f t="shared" si="18"/>
        <v/>
      </c>
    </row>
    <row r="229" spans="1:22" ht="15" customHeight="1">
      <c r="A229" s="4"/>
      <c r="B229" s="15"/>
      <c r="C229" s="4"/>
      <c r="D229" s="4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8" t="str">
        <f t="shared" si="20"/>
        <v/>
      </c>
      <c r="S229" s="8" t="str">
        <f t="shared" si="16"/>
        <v/>
      </c>
      <c r="T229" s="8" t="str">
        <f t="shared" si="17"/>
        <v/>
      </c>
      <c r="U229" s="11" t="str">
        <f t="shared" si="19"/>
        <v/>
      </c>
      <c r="V229" s="11" t="str">
        <f t="shared" si="18"/>
        <v/>
      </c>
    </row>
    <row r="230" spans="1:22" ht="15" customHeight="1">
      <c r="A230" s="4"/>
      <c r="B230" s="15"/>
      <c r="C230" s="4"/>
      <c r="D230" s="4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8" t="str">
        <f t="shared" si="20"/>
        <v/>
      </c>
      <c r="S230" s="8" t="str">
        <f t="shared" si="16"/>
        <v/>
      </c>
      <c r="T230" s="8" t="str">
        <f t="shared" si="17"/>
        <v/>
      </c>
      <c r="U230" s="11" t="str">
        <f t="shared" si="19"/>
        <v/>
      </c>
      <c r="V230" s="11" t="str">
        <f t="shared" si="18"/>
        <v/>
      </c>
    </row>
    <row r="231" spans="1:22" ht="15" customHeight="1">
      <c r="A231" s="4"/>
      <c r="B231" s="15"/>
      <c r="C231" s="4"/>
      <c r="D231" s="4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8" t="str">
        <f t="shared" si="20"/>
        <v/>
      </c>
      <c r="S231" s="8" t="str">
        <f t="shared" si="16"/>
        <v/>
      </c>
      <c r="T231" s="8" t="str">
        <f t="shared" si="17"/>
        <v/>
      </c>
      <c r="U231" s="11" t="str">
        <f t="shared" si="19"/>
        <v/>
      </c>
      <c r="V231" s="11" t="str">
        <f t="shared" si="18"/>
        <v/>
      </c>
    </row>
    <row r="232" spans="1:22" ht="15" customHeight="1">
      <c r="A232" s="4"/>
      <c r="B232" s="15"/>
      <c r="C232" s="4"/>
      <c r="D232" s="4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8" t="str">
        <f t="shared" si="20"/>
        <v/>
      </c>
      <c r="S232" s="8" t="str">
        <f t="shared" si="16"/>
        <v/>
      </c>
      <c r="T232" s="8" t="str">
        <f t="shared" si="17"/>
        <v/>
      </c>
      <c r="U232" s="11" t="str">
        <f t="shared" si="19"/>
        <v/>
      </c>
      <c r="V232" s="11" t="str">
        <f t="shared" si="18"/>
        <v/>
      </c>
    </row>
    <row r="233" spans="1:22" ht="15" customHeight="1">
      <c r="A233" s="4"/>
      <c r="B233" s="15"/>
      <c r="C233" s="4"/>
      <c r="D233" s="4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8" t="str">
        <f t="shared" si="20"/>
        <v/>
      </c>
      <c r="S233" s="8" t="str">
        <f t="shared" si="16"/>
        <v/>
      </c>
      <c r="T233" s="8" t="str">
        <f t="shared" si="17"/>
        <v/>
      </c>
      <c r="U233" s="11" t="str">
        <f t="shared" si="19"/>
        <v/>
      </c>
      <c r="V233" s="11" t="str">
        <f t="shared" si="18"/>
        <v/>
      </c>
    </row>
    <row r="234" spans="1:22" ht="15" customHeight="1">
      <c r="A234" s="4"/>
      <c r="B234" s="15"/>
      <c r="C234" s="4"/>
      <c r="D234" s="4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8" t="str">
        <f t="shared" si="20"/>
        <v/>
      </c>
      <c r="S234" s="8" t="str">
        <f t="shared" si="16"/>
        <v/>
      </c>
      <c r="T234" s="8" t="str">
        <f t="shared" si="17"/>
        <v/>
      </c>
      <c r="U234" s="11" t="str">
        <f t="shared" si="19"/>
        <v/>
      </c>
      <c r="V234" s="11" t="str">
        <f t="shared" si="18"/>
        <v/>
      </c>
    </row>
    <row r="235" spans="1:22" ht="15" customHeight="1">
      <c r="A235" s="4"/>
      <c r="B235" s="15"/>
      <c r="C235" s="4"/>
      <c r="D235" s="4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8" t="str">
        <f t="shared" si="20"/>
        <v/>
      </c>
      <c r="S235" s="8" t="str">
        <f t="shared" si="16"/>
        <v/>
      </c>
      <c r="T235" s="8" t="str">
        <f t="shared" si="17"/>
        <v/>
      </c>
      <c r="U235" s="11" t="str">
        <f t="shared" si="19"/>
        <v/>
      </c>
      <c r="V235" s="11" t="str">
        <f t="shared" si="18"/>
        <v/>
      </c>
    </row>
    <row r="236" spans="1:22" ht="15" customHeight="1">
      <c r="A236" s="4"/>
      <c r="B236" s="15"/>
      <c r="C236" s="4"/>
      <c r="D236" s="4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8" t="str">
        <f t="shared" si="20"/>
        <v/>
      </c>
      <c r="S236" s="8" t="str">
        <f t="shared" si="16"/>
        <v/>
      </c>
      <c r="T236" s="8" t="str">
        <f t="shared" si="17"/>
        <v/>
      </c>
      <c r="U236" s="11" t="str">
        <f t="shared" si="19"/>
        <v/>
      </c>
      <c r="V236" s="11" t="str">
        <f t="shared" si="18"/>
        <v/>
      </c>
    </row>
    <row r="237" spans="1:22" ht="15" customHeight="1">
      <c r="A237" s="4"/>
      <c r="B237" s="15"/>
      <c r="C237" s="4"/>
      <c r="D237" s="4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8" t="str">
        <f t="shared" si="20"/>
        <v/>
      </c>
      <c r="S237" s="8" t="str">
        <f t="shared" si="16"/>
        <v/>
      </c>
      <c r="T237" s="8" t="str">
        <f t="shared" si="17"/>
        <v/>
      </c>
      <c r="U237" s="11" t="str">
        <f t="shared" si="19"/>
        <v/>
      </c>
      <c r="V237" s="11" t="str">
        <f t="shared" si="18"/>
        <v/>
      </c>
    </row>
    <row r="238" spans="1:22" ht="15" customHeight="1">
      <c r="A238" s="4"/>
      <c r="B238" s="15"/>
      <c r="C238" s="4"/>
      <c r="D238" s="4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8" t="str">
        <f t="shared" si="20"/>
        <v/>
      </c>
      <c r="S238" s="8" t="str">
        <f t="shared" si="16"/>
        <v/>
      </c>
      <c r="T238" s="8" t="str">
        <f t="shared" si="17"/>
        <v/>
      </c>
      <c r="U238" s="11" t="str">
        <f t="shared" si="19"/>
        <v/>
      </c>
      <c r="V238" s="11" t="str">
        <f t="shared" si="18"/>
        <v/>
      </c>
    </row>
    <row r="239" spans="1:22" ht="15" customHeight="1">
      <c r="A239" s="4"/>
      <c r="B239" s="15"/>
      <c r="C239" s="4"/>
      <c r="D239" s="4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8" t="str">
        <f t="shared" si="20"/>
        <v/>
      </c>
      <c r="S239" s="8" t="str">
        <f t="shared" si="16"/>
        <v/>
      </c>
      <c r="T239" s="8" t="str">
        <f t="shared" si="17"/>
        <v/>
      </c>
      <c r="U239" s="11" t="str">
        <f t="shared" si="19"/>
        <v/>
      </c>
      <c r="V239" s="11" t="str">
        <f t="shared" si="18"/>
        <v/>
      </c>
    </row>
    <row r="240" spans="1:22" ht="15" customHeight="1">
      <c r="A240" s="4"/>
      <c r="B240" s="15"/>
      <c r="C240" s="4"/>
      <c r="D240" s="4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8" t="str">
        <f t="shared" si="20"/>
        <v/>
      </c>
      <c r="S240" s="8" t="str">
        <f t="shared" si="16"/>
        <v/>
      </c>
      <c r="T240" s="8" t="str">
        <f t="shared" si="17"/>
        <v/>
      </c>
      <c r="U240" s="11" t="str">
        <f t="shared" si="19"/>
        <v/>
      </c>
      <c r="V240" s="11" t="str">
        <f t="shared" si="18"/>
        <v/>
      </c>
    </row>
    <row r="241" spans="1:22" ht="15" customHeight="1">
      <c r="A241" s="4"/>
      <c r="B241" s="15"/>
      <c r="C241" s="4"/>
      <c r="D241" s="4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8" t="str">
        <f t="shared" si="20"/>
        <v/>
      </c>
      <c r="S241" s="8" t="str">
        <f t="shared" si="16"/>
        <v/>
      </c>
      <c r="T241" s="8" t="str">
        <f t="shared" si="17"/>
        <v/>
      </c>
      <c r="U241" s="11" t="str">
        <f t="shared" si="19"/>
        <v/>
      </c>
      <c r="V241" s="11" t="str">
        <f t="shared" si="18"/>
        <v/>
      </c>
    </row>
    <row r="242" spans="1:22" ht="15" customHeight="1">
      <c r="A242" s="4"/>
      <c r="B242" s="15"/>
      <c r="C242" s="4"/>
      <c r="D242" s="4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8" t="str">
        <f t="shared" si="20"/>
        <v/>
      </c>
      <c r="S242" s="8" t="str">
        <f t="shared" si="16"/>
        <v/>
      </c>
      <c r="T242" s="8" t="str">
        <f t="shared" si="17"/>
        <v/>
      </c>
      <c r="U242" s="11" t="str">
        <f t="shared" si="19"/>
        <v/>
      </c>
      <c r="V242" s="11" t="str">
        <f t="shared" si="18"/>
        <v/>
      </c>
    </row>
    <row r="243" spans="1:22" ht="15" customHeight="1">
      <c r="A243" s="4"/>
      <c r="B243" s="15"/>
      <c r="C243" s="4"/>
      <c r="D243" s="4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8" t="str">
        <f t="shared" si="20"/>
        <v/>
      </c>
      <c r="S243" s="8" t="str">
        <f t="shared" si="16"/>
        <v/>
      </c>
      <c r="T243" s="8" t="str">
        <f t="shared" si="17"/>
        <v/>
      </c>
      <c r="U243" s="11" t="str">
        <f t="shared" si="19"/>
        <v/>
      </c>
      <c r="V243" s="11" t="str">
        <f t="shared" si="18"/>
        <v/>
      </c>
    </row>
    <row r="244" spans="1:22" ht="15" customHeight="1">
      <c r="A244" s="4"/>
      <c r="B244" s="15"/>
      <c r="C244" s="4"/>
      <c r="D244" s="4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8" t="str">
        <f t="shared" si="20"/>
        <v/>
      </c>
      <c r="S244" s="8" t="str">
        <f t="shared" si="16"/>
        <v/>
      </c>
      <c r="T244" s="8" t="str">
        <f t="shared" si="17"/>
        <v/>
      </c>
      <c r="U244" s="11" t="str">
        <f t="shared" si="19"/>
        <v/>
      </c>
      <c r="V244" s="11" t="str">
        <f t="shared" si="18"/>
        <v/>
      </c>
    </row>
    <row r="245" spans="1:22" ht="15" customHeight="1">
      <c r="A245" s="4"/>
      <c r="B245" s="15"/>
      <c r="C245" s="4"/>
      <c r="D245" s="4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8" t="str">
        <f t="shared" si="20"/>
        <v/>
      </c>
      <c r="S245" s="8" t="str">
        <f t="shared" si="16"/>
        <v/>
      </c>
      <c r="T245" s="8" t="str">
        <f t="shared" si="17"/>
        <v/>
      </c>
      <c r="U245" s="11" t="str">
        <f t="shared" si="19"/>
        <v/>
      </c>
      <c r="V245" s="11" t="str">
        <f t="shared" si="18"/>
        <v/>
      </c>
    </row>
    <row r="246" spans="1:22" ht="15" customHeight="1">
      <c r="A246" s="4"/>
      <c r="B246" s="15"/>
      <c r="C246" s="4"/>
      <c r="D246" s="4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8" t="str">
        <f t="shared" si="20"/>
        <v/>
      </c>
      <c r="S246" s="8" t="str">
        <f t="shared" si="16"/>
        <v/>
      </c>
      <c r="T246" s="8" t="str">
        <f t="shared" si="17"/>
        <v/>
      </c>
      <c r="U246" s="11" t="str">
        <f t="shared" si="19"/>
        <v/>
      </c>
      <c r="V246" s="11" t="str">
        <f t="shared" si="18"/>
        <v/>
      </c>
    </row>
    <row r="247" spans="1:22" ht="15" customHeight="1">
      <c r="A247" s="4"/>
      <c r="B247" s="15"/>
      <c r="C247" s="4"/>
      <c r="D247" s="4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8" t="str">
        <f t="shared" si="20"/>
        <v/>
      </c>
      <c r="S247" s="8" t="str">
        <f t="shared" si="16"/>
        <v/>
      </c>
      <c r="T247" s="8" t="str">
        <f t="shared" si="17"/>
        <v/>
      </c>
      <c r="U247" s="11" t="str">
        <f t="shared" si="19"/>
        <v/>
      </c>
      <c r="V247" s="11" t="str">
        <f t="shared" si="18"/>
        <v/>
      </c>
    </row>
    <row r="248" spans="1:22" ht="15" customHeight="1">
      <c r="A248" s="4"/>
      <c r="B248" s="15"/>
      <c r="C248" s="4"/>
      <c r="D248" s="4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8" t="str">
        <f t="shared" si="20"/>
        <v/>
      </c>
      <c r="S248" s="8" t="str">
        <f t="shared" si="16"/>
        <v/>
      </c>
      <c r="T248" s="8" t="str">
        <f t="shared" si="17"/>
        <v/>
      </c>
      <c r="U248" s="11" t="str">
        <f t="shared" si="19"/>
        <v/>
      </c>
      <c r="V248" s="11" t="str">
        <f t="shared" si="18"/>
        <v/>
      </c>
    </row>
    <row r="249" spans="1:22" ht="15" customHeight="1">
      <c r="A249" s="4"/>
      <c r="B249" s="15"/>
      <c r="C249" s="4"/>
      <c r="D249" s="4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8" t="str">
        <f t="shared" si="20"/>
        <v/>
      </c>
      <c r="S249" s="8" t="str">
        <f t="shared" si="16"/>
        <v/>
      </c>
      <c r="T249" s="8" t="str">
        <f t="shared" si="17"/>
        <v/>
      </c>
      <c r="U249" s="11" t="str">
        <f t="shared" si="19"/>
        <v/>
      </c>
      <c r="V249" s="11" t="str">
        <f t="shared" si="18"/>
        <v/>
      </c>
    </row>
    <row r="250" spans="1:22" ht="15" customHeight="1">
      <c r="A250" s="4"/>
      <c r="B250" s="15"/>
      <c r="C250" s="4"/>
      <c r="D250" s="4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8" t="str">
        <f t="shared" si="20"/>
        <v/>
      </c>
      <c r="S250" s="8" t="str">
        <f t="shared" si="16"/>
        <v/>
      </c>
      <c r="T250" s="8" t="str">
        <f t="shared" si="17"/>
        <v/>
      </c>
      <c r="U250" s="11" t="str">
        <f t="shared" si="19"/>
        <v/>
      </c>
      <c r="V250" s="11" t="str">
        <f t="shared" si="18"/>
        <v/>
      </c>
    </row>
    <row r="251" spans="1:22" ht="15" customHeight="1">
      <c r="A251" s="4"/>
      <c r="B251" s="15"/>
      <c r="C251" s="4"/>
      <c r="D251" s="4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8" t="str">
        <f t="shared" si="20"/>
        <v/>
      </c>
      <c r="S251" s="8" t="str">
        <f t="shared" si="16"/>
        <v/>
      </c>
      <c r="T251" s="8" t="str">
        <f t="shared" si="17"/>
        <v/>
      </c>
      <c r="U251" s="11" t="str">
        <f t="shared" si="19"/>
        <v/>
      </c>
      <c r="V251" s="11" t="str">
        <f t="shared" si="18"/>
        <v/>
      </c>
    </row>
    <row r="252" spans="1:22" ht="15" customHeight="1">
      <c r="A252" s="4"/>
      <c r="B252" s="15"/>
      <c r="C252" s="4"/>
      <c r="D252" s="4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8" t="str">
        <f t="shared" si="20"/>
        <v/>
      </c>
      <c r="S252" s="8" t="str">
        <f t="shared" si="16"/>
        <v/>
      </c>
      <c r="T252" s="8" t="str">
        <f t="shared" si="17"/>
        <v/>
      </c>
      <c r="U252" s="11" t="str">
        <f t="shared" si="19"/>
        <v/>
      </c>
      <c r="V252" s="11" t="str">
        <f t="shared" si="18"/>
        <v/>
      </c>
    </row>
    <row r="253" spans="1:22" ht="15" customHeight="1">
      <c r="A253" s="4"/>
      <c r="B253" s="15"/>
      <c r="C253" s="4"/>
      <c r="D253" s="4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8" t="str">
        <f t="shared" si="20"/>
        <v/>
      </c>
      <c r="S253" s="8" t="str">
        <f t="shared" si="16"/>
        <v/>
      </c>
      <c r="T253" s="8" t="str">
        <f t="shared" si="17"/>
        <v/>
      </c>
      <c r="U253" s="11" t="str">
        <f t="shared" si="19"/>
        <v/>
      </c>
      <c r="V253" s="11" t="str">
        <f t="shared" si="18"/>
        <v/>
      </c>
    </row>
    <row r="254" spans="1:22" ht="15" customHeight="1">
      <c r="A254" s="4"/>
      <c r="B254" s="15"/>
      <c r="C254" s="4"/>
      <c r="D254" s="4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8" t="str">
        <f t="shared" si="20"/>
        <v/>
      </c>
      <c r="S254" s="8" t="str">
        <f t="shared" si="16"/>
        <v/>
      </c>
      <c r="T254" s="8" t="str">
        <f t="shared" si="17"/>
        <v/>
      </c>
      <c r="U254" s="11" t="str">
        <f t="shared" si="19"/>
        <v/>
      </c>
      <c r="V254" s="11" t="str">
        <f t="shared" si="18"/>
        <v/>
      </c>
    </row>
    <row r="255" spans="1:22" ht="15" customHeight="1">
      <c r="A255" s="4"/>
      <c r="B255" s="15"/>
      <c r="C255" s="4"/>
      <c r="D255" s="4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8" t="str">
        <f t="shared" si="20"/>
        <v/>
      </c>
      <c r="S255" s="8" t="str">
        <f t="shared" si="16"/>
        <v/>
      </c>
      <c r="T255" s="8" t="str">
        <f t="shared" si="17"/>
        <v/>
      </c>
      <c r="U255" s="11" t="str">
        <f t="shared" si="19"/>
        <v/>
      </c>
      <c r="V255" s="11" t="str">
        <f t="shared" si="18"/>
        <v/>
      </c>
    </row>
    <row r="256" spans="1:22" ht="15" customHeight="1">
      <c r="A256" s="4"/>
      <c r="B256" s="15"/>
      <c r="C256" s="4"/>
      <c r="D256" s="4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8" t="str">
        <f t="shared" si="20"/>
        <v/>
      </c>
      <c r="S256" s="8" t="str">
        <f t="shared" si="16"/>
        <v/>
      </c>
      <c r="T256" s="8" t="str">
        <f t="shared" si="17"/>
        <v/>
      </c>
      <c r="U256" s="11" t="str">
        <f t="shared" si="19"/>
        <v/>
      </c>
      <c r="V256" s="11" t="str">
        <f t="shared" si="18"/>
        <v/>
      </c>
    </row>
    <row r="257" spans="1:22" ht="15" customHeight="1">
      <c r="A257" s="4"/>
      <c r="B257" s="15"/>
      <c r="C257" s="4"/>
      <c r="D257" s="4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8" t="str">
        <f t="shared" si="20"/>
        <v/>
      </c>
      <c r="S257" s="8" t="str">
        <f t="shared" si="16"/>
        <v/>
      </c>
      <c r="T257" s="8" t="str">
        <f t="shared" si="17"/>
        <v/>
      </c>
      <c r="U257" s="11" t="str">
        <f t="shared" si="19"/>
        <v/>
      </c>
      <c r="V257" s="11" t="str">
        <f t="shared" si="18"/>
        <v/>
      </c>
    </row>
    <row r="258" spans="1:22" ht="15" customHeight="1">
      <c r="A258" s="4"/>
      <c r="B258" s="15"/>
      <c r="C258" s="4"/>
      <c r="D258" s="4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8" t="str">
        <f t="shared" si="20"/>
        <v/>
      </c>
      <c r="S258" s="8" t="str">
        <f t="shared" si="16"/>
        <v/>
      </c>
      <c r="T258" s="8" t="str">
        <f t="shared" si="17"/>
        <v/>
      </c>
      <c r="U258" s="11" t="str">
        <f t="shared" si="19"/>
        <v/>
      </c>
      <c r="V258" s="11" t="str">
        <f t="shared" si="18"/>
        <v/>
      </c>
    </row>
    <row r="259" spans="1:22" ht="15" customHeight="1">
      <c r="A259" s="4"/>
      <c r="B259" s="15"/>
      <c r="C259" s="4"/>
      <c r="D259" s="4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8" t="str">
        <f t="shared" si="20"/>
        <v/>
      </c>
      <c r="S259" s="8" t="str">
        <f t="shared" si="16"/>
        <v/>
      </c>
      <c r="T259" s="8" t="str">
        <f t="shared" si="17"/>
        <v/>
      </c>
      <c r="U259" s="11" t="str">
        <f t="shared" si="19"/>
        <v/>
      </c>
      <c r="V259" s="11" t="str">
        <f t="shared" si="18"/>
        <v/>
      </c>
    </row>
    <row r="260" spans="1:22" ht="15" customHeight="1">
      <c r="A260" s="4"/>
      <c r="B260" s="15"/>
      <c r="C260" s="4"/>
      <c r="D260" s="4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8" t="str">
        <f t="shared" si="20"/>
        <v/>
      </c>
      <c r="S260" s="8" t="str">
        <f t="shared" ref="S260:S323" si="21">IF(SUM(G260,I260)=0,"",G260+I260)</f>
        <v/>
      </c>
      <c r="T260" s="8" t="str">
        <f t="shared" ref="T260:T323" si="22">IF(SUM(F260,H260,J260)=0,"",F260*2+H260*3+J260)</f>
        <v/>
      </c>
      <c r="U260" s="11" t="str">
        <f t="shared" si="19"/>
        <v/>
      </c>
      <c r="V260" s="11" t="str">
        <f t="shared" ref="V260:V323" si="23">IF(K260=0,"",J260/K260)</f>
        <v/>
      </c>
    </row>
    <row r="261" spans="1:22" ht="15" customHeight="1">
      <c r="A261" s="4"/>
      <c r="B261" s="15"/>
      <c r="C261" s="4"/>
      <c r="D261" s="4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8" t="str">
        <f t="shared" si="20"/>
        <v/>
      </c>
      <c r="S261" s="8" t="str">
        <f t="shared" si="21"/>
        <v/>
      </c>
      <c r="T261" s="8" t="str">
        <f t="shared" si="22"/>
        <v/>
      </c>
      <c r="U261" s="11" t="str">
        <f t="shared" ref="U261:U324" si="24">IF(S261="","",IF(R261="",0,R261/S261))</f>
        <v/>
      </c>
      <c r="V261" s="11" t="str">
        <f t="shared" si="23"/>
        <v/>
      </c>
    </row>
    <row r="262" spans="1:22" ht="15" customHeight="1">
      <c r="A262" s="4"/>
      <c r="B262" s="15"/>
      <c r="C262" s="4"/>
      <c r="D262" s="4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8" t="str">
        <f t="shared" si="20"/>
        <v/>
      </c>
      <c r="S262" s="8" t="str">
        <f t="shared" si="21"/>
        <v/>
      </c>
      <c r="T262" s="8" t="str">
        <f t="shared" si="22"/>
        <v/>
      </c>
      <c r="U262" s="11" t="str">
        <f t="shared" si="24"/>
        <v/>
      </c>
      <c r="V262" s="11" t="str">
        <f t="shared" si="23"/>
        <v/>
      </c>
    </row>
    <row r="263" spans="1:22" ht="15" customHeight="1">
      <c r="A263" s="4"/>
      <c r="B263" s="15"/>
      <c r="C263" s="4"/>
      <c r="D263" s="4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8" t="str">
        <f t="shared" si="20"/>
        <v/>
      </c>
      <c r="S263" s="8" t="str">
        <f t="shared" si="21"/>
        <v/>
      </c>
      <c r="T263" s="8" t="str">
        <f t="shared" si="22"/>
        <v/>
      </c>
      <c r="U263" s="11" t="str">
        <f t="shared" si="24"/>
        <v/>
      </c>
      <c r="V263" s="11" t="str">
        <f t="shared" si="23"/>
        <v/>
      </c>
    </row>
    <row r="264" spans="1:22" ht="15" customHeight="1">
      <c r="A264" s="4"/>
      <c r="B264" s="15"/>
      <c r="C264" s="4"/>
      <c r="D264" s="4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8" t="str">
        <f t="shared" si="20"/>
        <v/>
      </c>
      <c r="S264" s="8" t="str">
        <f t="shared" si="21"/>
        <v/>
      </c>
      <c r="T264" s="8" t="str">
        <f t="shared" si="22"/>
        <v/>
      </c>
      <c r="U264" s="11" t="str">
        <f t="shared" si="24"/>
        <v/>
      </c>
      <c r="V264" s="11" t="str">
        <f t="shared" si="23"/>
        <v/>
      </c>
    </row>
    <row r="265" spans="1:22" ht="15" customHeight="1">
      <c r="A265" s="4"/>
      <c r="B265" s="15"/>
      <c r="C265" s="4"/>
      <c r="D265" s="4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8" t="str">
        <f t="shared" si="20"/>
        <v/>
      </c>
      <c r="S265" s="8" t="str">
        <f t="shared" si="21"/>
        <v/>
      </c>
      <c r="T265" s="8" t="str">
        <f t="shared" si="22"/>
        <v/>
      </c>
      <c r="U265" s="11" t="str">
        <f t="shared" si="24"/>
        <v/>
      </c>
      <c r="V265" s="11" t="str">
        <f t="shared" si="23"/>
        <v/>
      </c>
    </row>
    <row r="266" spans="1:22" ht="15" customHeight="1">
      <c r="A266" s="4"/>
      <c r="B266" s="15"/>
      <c r="C266" s="4"/>
      <c r="D266" s="4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8" t="str">
        <f t="shared" si="20"/>
        <v/>
      </c>
      <c r="S266" s="8" t="str">
        <f t="shared" si="21"/>
        <v/>
      </c>
      <c r="T266" s="8" t="str">
        <f t="shared" si="22"/>
        <v/>
      </c>
      <c r="U266" s="11" t="str">
        <f t="shared" si="24"/>
        <v/>
      </c>
      <c r="V266" s="11" t="str">
        <f t="shared" si="23"/>
        <v/>
      </c>
    </row>
    <row r="267" spans="1:22" ht="15" customHeight="1">
      <c r="A267" s="4"/>
      <c r="B267" s="15"/>
      <c r="C267" s="4"/>
      <c r="D267" s="4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8" t="str">
        <f t="shared" si="20"/>
        <v/>
      </c>
      <c r="S267" s="8" t="str">
        <f t="shared" si="21"/>
        <v/>
      </c>
      <c r="T267" s="8" t="str">
        <f t="shared" si="22"/>
        <v/>
      </c>
      <c r="U267" s="11" t="str">
        <f t="shared" si="24"/>
        <v/>
      </c>
      <c r="V267" s="11" t="str">
        <f t="shared" si="23"/>
        <v/>
      </c>
    </row>
    <row r="268" spans="1:22" ht="15" customHeight="1">
      <c r="A268" s="4"/>
      <c r="B268" s="15"/>
      <c r="C268" s="4"/>
      <c r="D268" s="4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8" t="str">
        <f t="shared" si="20"/>
        <v/>
      </c>
      <c r="S268" s="8" t="str">
        <f t="shared" si="21"/>
        <v/>
      </c>
      <c r="T268" s="8" t="str">
        <f t="shared" si="22"/>
        <v/>
      </c>
      <c r="U268" s="11" t="str">
        <f t="shared" si="24"/>
        <v/>
      </c>
      <c r="V268" s="11" t="str">
        <f t="shared" si="23"/>
        <v/>
      </c>
    </row>
    <row r="269" spans="1:22" ht="15" customHeight="1">
      <c r="A269" s="4"/>
      <c r="B269" s="15"/>
      <c r="C269" s="4"/>
      <c r="D269" s="4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8" t="str">
        <f t="shared" si="20"/>
        <v/>
      </c>
      <c r="S269" s="8" t="str">
        <f t="shared" si="21"/>
        <v/>
      </c>
      <c r="T269" s="8" t="str">
        <f t="shared" si="22"/>
        <v/>
      </c>
      <c r="U269" s="11" t="str">
        <f t="shared" si="24"/>
        <v/>
      </c>
      <c r="V269" s="11" t="str">
        <f t="shared" si="23"/>
        <v/>
      </c>
    </row>
    <row r="270" spans="1:22" ht="15" customHeight="1">
      <c r="A270" s="4"/>
      <c r="B270" s="15"/>
      <c r="C270" s="4"/>
      <c r="D270" s="4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8" t="str">
        <f t="shared" si="20"/>
        <v/>
      </c>
      <c r="S270" s="8" t="str">
        <f t="shared" si="21"/>
        <v/>
      </c>
      <c r="T270" s="8" t="str">
        <f t="shared" si="22"/>
        <v/>
      </c>
      <c r="U270" s="11" t="str">
        <f t="shared" si="24"/>
        <v/>
      </c>
      <c r="V270" s="11" t="str">
        <f t="shared" si="23"/>
        <v/>
      </c>
    </row>
    <row r="271" spans="1:22" ht="15" customHeight="1">
      <c r="A271" s="4"/>
      <c r="B271" s="15"/>
      <c r="C271" s="4"/>
      <c r="D271" s="4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8" t="str">
        <f t="shared" si="20"/>
        <v/>
      </c>
      <c r="S271" s="8" t="str">
        <f t="shared" si="21"/>
        <v/>
      </c>
      <c r="T271" s="8" t="str">
        <f t="shared" si="22"/>
        <v/>
      </c>
      <c r="U271" s="11" t="str">
        <f t="shared" si="24"/>
        <v/>
      </c>
      <c r="V271" s="11" t="str">
        <f t="shared" si="23"/>
        <v/>
      </c>
    </row>
    <row r="272" spans="1:22" ht="15" customHeight="1">
      <c r="A272" s="4"/>
      <c r="B272" s="15"/>
      <c r="C272" s="4"/>
      <c r="D272" s="4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8" t="str">
        <f t="shared" si="20"/>
        <v/>
      </c>
      <c r="S272" s="8" t="str">
        <f t="shared" si="21"/>
        <v/>
      </c>
      <c r="T272" s="8" t="str">
        <f t="shared" si="22"/>
        <v/>
      </c>
      <c r="U272" s="11" t="str">
        <f t="shared" si="24"/>
        <v/>
      </c>
      <c r="V272" s="11" t="str">
        <f t="shared" si="23"/>
        <v/>
      </c>
    </row>
    <row r="273" spans="1:22" ht="15" customHeight="1">
      <c r="A273" s="4"/>
      <c r="B273" s="15"/>
      <c r="C273" s="4"/>
      <c r="D273" s="4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8" t="str">
        <f t="shared" si="20"/>
        <v/>
      </c>
      <c r="S273" s="8" t="str">
        <f t="shared" si="21"/>
        <v/>
      </c>
      <c r="T273" s="8" t="str">
        <f t="shared" si="22"/>
        <v/>
      </c>
      <c r="U273" s="11" t="str">
        <f t="shared" si="24"/>
        <v/>
      </c>
      <c r="V273" s="11" t="str">
        <f t="shared" si="23"/>
        <v/>
      </c>
    </row>
    <row r="274" spans="1:22" ht="15" customHeight="1">
      <c r="A274" s="4"/>
      <c r="B274" s="15"/>
      <c r="C274" s="4"/>
      <c r="D274" s="4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8" t="str">
        <f t="shared" si="20"/>
        <v/>
      </c>
      <c r="S274" s="8" t="str">
        <f t="shared" si="21"/>
        <v/>
      </c>
      <c r="T274" s="8" t="str">
        <f t="shared" si="22"/>
        <v/>
      </c>
      <c r="U274" s="11" t="str">
        <f t="shared" si="24"/>
        <v/>
      </c>
      <c r="V274" s="11" t="str">
        <f t="shared" si="23"/>
        <v/>
      </c>
    </row>
    <row r="275" spans="1:22" ht="15" customHeight="1">
      <c r="A275" s="4"/>
      <c r="B275" s="15"/>
      <c r="C275" s="4"/>
      <c r="D275" s="4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8" t="str">
        <f t="shared" si="20"/>
        <v/>
      </c>
      <c r="S275" s="8" t="str">
        <f t="shared" si="21"/>
        <v/>
      </c>
      <c r="T275" s="8" t="str">
        <f t="shared" si="22"/>
        <v/>
      </c>
      <c r="U275" s="11" t="str">
        <f t="shared" si="24"/>
        <v/>
      </c>
      <c r="V275" s="11" t="str">
        <f t="shared" si="23"/>
        <v/>
      </c>
    </row>
    <row r="276" spans="1:22" ht="15" customHeight="1">
      <c r="A276" s="4"/>
      <c r="B276" s="15"/>
      <c r="C276" s="4"/>
      <c r="D276" s="4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8" t="str">
        <f t="shared" si="20"/>
        <v/>
      </c>
      <c r="S276" s="8" t="str">
        <f t="shared" si="21"/>
        <v/>
      </c>
      <c r="T276" s="8" t="str">
        <f t="shared" si="22"/>
        <v/>
      </c>
      <c r="U276" s="11" t="str">
        <f t="shared" si="24"/>
        <v/>
      </c>
      <c r="V276" s="11" t="str">
        <f t="shared" si="23"/>
        <v/>
      </c>
    </row>
    <row r="277" spans="1:22" ht="15" customHeight="1">
      <c r="A277" s="4"/>
      <c r="B277" s="15"/>
      <c r="C277" s="4"/>
      <c r="D277" s="4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8" t="str">
        <f t="shared" si="20"/>
        <v/>
      </c>
      <c r="S277" s="8" t="str">
        <f t="shared" si="21"/>
        <v/>
      </c>
      <c r="T277" s="8" t="str">
        <f t="shared" si="22"/>
        <v/>
      </c>
      <c r="U277" s="11" t="str">
        <f t="shared" si="24"/>
        <v/>
      </c>
      <c r="V277" s="11" t="str">
        <f t="shared" si="23"/>
        <v/>
      </c>
    </row>
    <row r="278" spans="1:22" ht="15" customHeight="1">
      <c r="A278" s="4"/>
      <c r="B278" s="15"/>
      <c r="C278" s="4"/>
      <c r="D278" s="4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8" t="str">
        <f t="shared" si="20"/>
        <v/>
      </c>
      <c r="S278" s="8" t="str">
        <f t="shared" si="21"/>
        <v/>
      </c>
      <c r="T278" s="8" t="str">
        <f t="shared" si="22"/>
        <v/>
      </c>
      <c r="U278" s="11" t="str">
        <f t="shared" si="24"/>
        <v/>
      </c>
      <c r="V278" s="11" t="str">
        <f t="shared" si="23"/>
        <v/>
      </c>
    </row>
    <row r="279" spans="1:22" ht="15" customHeight="1">
      <c r="A279" s="4"/>
      <c r="B279" s="15"/>
      <c r="C279" s="4"/>
      <c r="D279" s="4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8" t="str">
        <f t="shared" si="20"/>
        <v/>
      </c>
      <c r="S279" s="8" t="str">
        <f t="shared" si="21"/>
        <v/>
      </c>
      <c r="T279" s="8" t="str">
        <f t="shared" si="22"/>
        <v/>
      </c>
      <c r="U279" s="11" t="str">
        <f t="shared" si="24"/>
        <v/>
      </c>
      <c r="V279" s="11" t="str">
        <f t="shared" si="23"/>
        <v/>
      </c>
    </row>
    <row r="280" spans="1:22" ht="15" customHeight="1">
      <c r="A280" s="4"/>
      <c r="B280" s="15"/>
      <c r="C280" s="4"/>
      <c r="D280" s="4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8" t="str">
        <f t="shared" si="20"/>
        <v/>
      </c>
      <c r="S280" s="8" t="str">
        <f t="shared" si="21"/>
        <v/>
      </c>
      <c r="T280" s="8" t="str">
        <f t="shared" si="22"/>
        <v/>
      </c>
      <c r="U280" s="11" t="str">
        <f t="shared" si="24"/>
        <v/>
      </c>
      <c r="V280" s="11" t="str">
        <f t="shared" si="23"/>
        <v/>
      </c>
    </row>
    <row r="281" spans="1:22" ht="15" customHeight="1">
      <c r="A281" s="4"/>
      <c r="B281" s="15"/>
      <c r="C281" s="4"/>
      <c r="D281" s="4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8" t="str">
        <f t="shared" si="20"/>
        <v/>
      </c>
      <c r="S281" s="8" t="str">
        <f t="shared" si="21"/>
        <v/>
      </c>
      <c r="T281" s="8" t="str">
        <f t="shared" si="22"/>
        <v/>
      </c>
      <c r="U281" s="11" t="str">
        <f t="shared" si="24"/>
        <v/>
      </c>
      <c r="V281" s="11" t="str">
        <f t="shared" si="23"/>
        <v/>
      </c>
    </row>
    <row r="282" spans="1:22" ht="15" customHeight="1">
      <c r="A282" s="4"/>
      <c r="B282" s="15"/>
      <c r="C282" s="4"/>
      <c r="D282" s="4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8" t="str">
        <f t="shared" si="20"/>
        <v/>
      </c>
      <c r="S282" s="8" t="str">
        <f t="shared" si="21"/>
        <v/>
      </c>
      <c r="T282" s="8" t="str">
        <f t="shared" si="22"/>
        <v/>
      </c>
      <c r="U282" s="11" t="str">
        <f t="shared" si="24"/>
        <v/>
      </c>
      <c r="V282" s="11" t="str">
        <f t="shared" si="23"/>
        <v/>
      </c>
    </row>
    <row r="283" spans="1:22" ht="15" customHeight="1">
      <c r="A283" s="4"/>
      <c r="B283" s="15"/>
      <c r="C283" s="4"/>
      <c r="D283" s="4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8" t="str">
        <f t="shared" si="20"/>
        <v/>
      </c>
      <c r="S283" s="8" t="str">
        <f t="shared" si="21"/>
        <v/>
      </c>
      <c r="T283" s="8" t="str">
        <f t="shared" si="22"/>
        <v/>
      </c>
      <c r="U283" s="11" t="str">
        <f t="shared" si="24"/>
        <v/>
      </c>
      <c r="V283" s="11" t="str">
        <f t="shared" si="23"/>
        <v/>
      </c>
    </row>
    <row r="284" spans="1:22" ht="15" customHeight="1">
      <c r="A284" s="4"/>
      <c r="B284" s="15"/>
      <c r="C284" s="4"/>
      <c r="D284" s="4"/>
      <c r="E284" s="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8" t="str">
        <f t="shared" si="20"/>
        <v/>
      </c>
      <c r="S284" s="8" t="str">
        <f t="shared" si="21"/>
        <v/>
      </c>
      <c r="T284" s="8" t="str">
        <f t="shared" si="22"/>
        <v/>
      </c>
      <c r="U284" s="11" t="str">
        <f t="shared" si="24"/>
        <v/>
      </c>
      <c r="V284" s="11" t="str">
        <f t="shared" si="23"/>
        <v/>
      </c>
    </row>
    <row r="285" spans="1:22" ht="15" customHeight="1">
      <c r="A285" s="4"/>
      <c r="B285" s="15"/>
      <c r="C285" s="4"/>
      <c r="D285" s="4"/>
      <c r="E285" s="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8" t="str">
        <f t="shared" si="20"/>
        <v/>
      </c>
      <c r="S285" s="8" t="str">
        <f t="shared" si="21"/>
        <v/>
      </c>
      <c r="T285" s="8" t="str">
        <f t="shared" si="22"/>
        <v/>
      </c>
      <c r="U285" s="11" t="str">
        <f t="shared" si="24"/>
        <v/>
      </c>
      <c r="V285" s="11" t="str">
        <f t="shared" si="23"/>
        <v/>
      </c>
    </row>
    <row r="286" spans="1:22" ht="15" customHeight="1">
      <c r="A286" s="4"/>
      <c r="B286" s="15"/>
      <c r="C286" s="4"/>
      <c r="D286" s="4"/>
      <c r="E286" s="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8" t="str">
        <f t="shared" si="20"/>
        <v/>
      </c>
      <c r="S286" s="8" t="str">
        <f t="shared" si="21"/>
        <v/>
      </c>
      <c r="T286" s="8" t="str">
        <f t="shared" si="22"/>
        <v/>
      </c>
      <c r="U286" s="11" t="str">
        <f t="shared" si="24"/>
        <v/>
      </c>
      <c r="V286" s="11" t="str">
        <f t="shared" si="23"/>
        <v/>
      </c>
    </row>
    <row r="287" spans="1:22" ht="15" customHeight="1">
      <c r="A287" s="4"/>
      <c r="B287" s="15"/>
      <c r="C287" s="4"/>
      <c r="D287" s="4"/>
      <c r="E287" s="4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8" t="str">
        <f t="shared" si="20"/>
        <v/>
      </c>
      <c r="S287" s="8" t="str">
        <f t="shared" si="21"/>
        <v/>
      </c>
      <c r="T287" s="8" t="str">
        <f t="shared" si="22"/>
        <v/>
      </c>
      <c r="U287" s="11" t="str">
        <f t="shared" si="24"/>
        <v/>
      </c>
      <c r="V287" s="11" t="str">
        <f t="shared" si="23"/>
        <v/>
      </c>
    </row>
    <row r="288" spans="1:22" ht="15" customHeight="1">
      <c r="A288" s="4"/>
      <c r="B288" s="15"/>
      <c r="C288" s="4"/>
      <c r="D288" s="4"/>
      <c r="E288" s="4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8" t="str">
        <f t="shared" si="20"/>
        <v/>
      </c>
      <c r="S288" s="8" t="str">
        <f t="shared" si="21"/>
        <v/>
      </c>
      <c r="T288" s="8" t="str">
        <f t="shared" si="22"/>
        <v/>
      </c>
      <c r="U288" s="11" t="str">
        <f t="shared" si="24"/>
        <v/>
      </c>
      <c r="V288" s="11" t="str">
        <f t="shared" si="23"/>
        <v/>
      </c>
    </row>
    <row r="289" spans="1:22" ht="15" customHeight="1">
      <c r="A289" s="4"/>
      <c r="B289" s="15"/>
      <c r="C289" s="4"/>
      <c r="D289" s="4"/>
      <c r="E289" s="4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8" t="str">
        <f t="shared" si="20"/>
        <v/>
      </c>
      <c r="S289" s="8" t="str">
        <f t="shared" si="21"/>
        <v/>
      </c>
      <c r="T289" s="8" t="str">
        <f t="shared" si="22"/>
        <v/>
      </c>
      <c r="U289" s="11" t="str">
        <f t="shared" si="24"/>
        <v/>
      </c>
      <c r="V289" s="11" t="str">
        <f t="shared" si="23"/>
        <v/>
      </c>
    </row>
    <row r="290" spans="1:22" ht="15" customHeight="1">
      <c r="A290" s="4"/>
      <c r="B290" s="15"/>
      <c r="C290" s="4"/>
      <c r="D290" s="4"/>
      <c r="E290" s="4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8" t="str">
        <f t="shared" ref="R290:R353" si="25">IF(AND(F290="",H290=""),"",IF(SUM(F290,H290)=0,0,F290+H290))</f>
        <v/>
      </c>
      <c r="S290" s="8" t="str">
        <f t="shared" si="21"/>
        <v/>
      </c>
      <c r="T290" s="8" t="str">
        <f t="shared" si="22"/>
        <v/>
      </c>
      <c r="U290" s="11" t="str">
        <f t="shared" si="24"/>
        <v/>
      </c>
      <c r="V290" s="11" t="str">
        <f t="shared" si="23"/>
        <v/>
      </c>
    </row>
    <row r="291" spans="1:22" ht="15" customHeight="1">
      <c r="A291" s="4"/>
      <c r="B291" s="15"/>
      <c r="C291" s="4"/>
      <c r="D291" s="4"/>
      <c r="E291" s="4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8" t="str">
        <f t="shared" si="25"/>
        <v/>
      </c>
      <c r="S291" s="8" t="str">
        <f t="shared" si="21"/>
        <v/>
      </c>
      <c r="T291" s="8" t="str">
        <f t="shared" si="22"/>
        <v/>
      </c>
      <c r="U291" s="11" t="str">
        <f t="shared" si="24"/>
        <v/>
      </c>
      <c r="V291" s="11" t="str">
        <f t="shared" si="23"/>
        <v/>
      </c>
    </row>
    <row r="292" spans="1:22" ht="15" customHeight="1">
      <c r="A292" s="4"/>
      <c r="B292" s="15"/>
      <c r="C292" s="4"/>
      <c r="D292" s="4"/>
      <c r="E292" s="4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8" t="str">
        <f t="shared" si="25"/>
        <v/>
      </c>
      <c r="S292" s="8" t="str">
        <f t="shared" si="21"/>
        <v/>
      </c>
      <c r="T292" s="8" t="str">
        <f t="shared" si="22"/>
        <v/>
      </c>
      <c r="U292" s="11" t="str">
        <f t="shared" si="24"/>
        <v/>
      </c>
      <c r="V292" s="11" t="str">
        <f t="shared" si="23"/>
        <v/>
      </c>
    </row>
    <row r="293" spans="1:22" ht="15" customHeight="1">
      <c r="A293" s="4"/>
      <c r="B293" s="15"/>
      <c r="C293" s="4"/>
      <c r="D293" s="4"/>
      <c r="E293" s="4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8" t="str">
        <f t="shared" si="25"/>
        <v/>
      </c>
      <c r="S293" s="8" t="str">
        <f t="shared" si="21"/>
        <v/>
      </c>
      <c r="T293" s="8" t="str">
        <f t="shared" si="22"/>
        <v/>
      </c>
      <c r="U293" s="11" t="str">
        <f t="shared" si="24"/>
        <v/>
      </c>
      <c r="V293" s="11" t="str">
        <f t="shared" si="23"/>
        <v/>
      </c>
    </row>
    <row r="294" spans="1:22" ht="15" customHeight="1">
      <c r="A294" s="4"/>
      <c r="B294" s="15"/>
      <c r="C294" s="4"/>
      <c r="D294" s="4"/>
      <c r="E294" s="4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8" t="str">
        <f t="shared" si="25"/>
        <v/>
      </c>
      <c r="S294" s="8" t="str">
        <f t="shared" si="21"/>
        <v/>
      </c>
      <c r="T294" s="8" t="str">
        <f t="shared" si="22"/>
        <v/>
      </c>
      <c r="U294" s="11" t="str">
        <f t="shared" si="24"/>
        <v/>
      </c>
      <c r="V294" s="11" t="str">
        <f t="shared" si="23"/>
        <v/>
      </c>
    </row>
    <row r="295" spans="1:22" ht="15" customHeight="1">
      <c r="A295" s="4"/>
      <c r="B295" s="15"/>
      <c r="C295" s="4"/>
      <c r="D295" s="4"/>
      <c r="E295" s="4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8" t="str">
        <f t="shared" si="25"/>
        <v/>
      </c>
      <c r="S295" s="8" t="str">
        <f t="shared" si="21"/>
        <v/>
      </c>
      <c r="T295" s="8" t="str">
        <f t="shared" si="22"/>
        <v/>
      </c>
      <c r="U295" s="11" t="str">
        <f t="shared" si="24"/>
        <v/>
      </c>
      <c r="V295" s="11" t="str">
        <f t="shared" si="23"/>
        <v/>
      </c>
    </row>
    <row r="296" spans="1:22" ht="15" customHeight="1">
      <c r="A296" s="4"/>
      <c r="B296" s="15"/>
      <c r="C296" s="4"/>
      <c r="D296" s="4"/>
      <c r="E296" s="4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8" t="str">
        <f t="shared" si="25"/>
        <v/>
      </c>
      <c r="S296" s="8" t="str">
        <f t="shared" si="21"/>
        <v/>
      </c>
      <c r="T296" s="8" t="str">
        <f t="shared" si="22"/>
        <v/>
      </c>
      <c r="U296" s="11" t="str">
        <f t="shared" si="24"/>
        <v/>
      </c>
      <c r="V296" s="11" t="str">
        <f t="shared" si="23"/>
        <v/>
      </c>
    </row>
    <row r="297" spans="1:22" ht="15" customHeight="1">
      <c r="A297" s="4"/>
      <c r="B297" s="15"/>
      <c r="C297" s="4"/>
      <c r="D297" s="4"/>
      <c r="E297" s="4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8" t="str">
        <f t="shared" si="25"/>
        <v/>
      </c>
      <c r="S297" s="8" t="str">
        <f t="shared" si="21"/>
        <v/>
      </c>
      <c r="T297" s="8" t="str">
        <f t="shared" si="22"/>
        <v/>
      </c>
      <c r="U297" s="11" t="str">
        <f t="shared" si="24"/>
        <v/>
      </c>
      <c r="V297" s="11" t="str">
        <f t="shared" si="23"/>
        <v/>
      </c>
    </row>
    <row r="298" spans="1:22" ht="15" customHeight="1">
      <c r="A298" s="4"/>
      <c r="B298" s="15"/>
      <c r="C298" s="4"/>
      <c r="D298" s="4"/>
      <c r="E298" s="4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8" t="str">
        <f t="shared" si="25"/>
        <v/>
      </c>
      <c r="S298" s="8" t="str">
        <f t="shared" si="21"/>
        <v/>
      </c>
      <c r="T298" s="8" t="str">
        <f t="shared" si="22"/>
        <v/>
      </c>
      <c r="U298" s="11" t="str">
        <f t="shared" si="24"/>
        <v/>
      </c>
      <c r="V298" s="11" t="str">
        <f t="shared" si="23"/>
        <v/>
      </c>
    </row>
    <row r="299" spans="1:22" ht="15" customHeight="1">
      <c r="A299" s="4"/>
      <c r="B299" s="15"/>
      <c r="C299" s="4"/>
      <c r="D299" s="4"/>
      <c r="E299" s="4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8" t="str">
        <f t="shared" si="25"/>
        <v/>
      </c>
      <c r="S299" s="8" t="str">
        <f t="shared" si="21"/>
        <v/>
      </c>
      <c r="T299" s="8" t="str">
        <f t="shared" si="22"/>
        <v/>
      </c>
      <c r="U299" s="11" t="str">
        <f t="shared" si="24"/>
        <v/>
      </c>
      <c r="V299" s="11" t="str">
        <f t="shared" si="23"/>
        <v/>
      </c>
    </row>
    <row r="300" spans="1:22" ht="15" customHeight="1">
      <c r="A300" s="4"/>
      <c r="B300" s="15"/>
      <c r="C300" s="4"/>
      <c r="D300" s="4"/>
      <c r="E300" s="4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8" t="str">
        <f t="shared" si="25"/>
        <v/>
      </c>
      <c r="S300" s="8" t="str">
        <f t="shared" si="21"/>
        <v/>
      </c>
      <c r="T300" s="8" t="str">
        <f t="shared" si="22"/>
        <v/>
      </c>
      <c r="U300" s="11" t="str">
        <f t="shared" si="24"/>
        <v/>
      </c>
      <c r="V300" s="11" t="str">
        <f t="shared" si="23"/>
        <v/>
      </c>
    </row>
    <row r="301" spans="1:22" ht="15" customHeight="1">
      <c r="A301" s="4"/>
      <c r="B301" s="15"/>
      <c r="C301" s="4"/>
      <c r="D301" s="4"/>
      <c r="E301" s="4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8" t="str">
        <f t="shared" si="25"/>
        <v/>
      </c>
      <c r="S301" s="8" t="str">
        <f t="shared" si="21"/>
        <v/>
      </c>
      <c r="T301" s="8" t="str">
        <f t="shared" si="22"/>
        <v/>
      </c>
      <c r="U301" s="11" t="str">
        <f t="shared" si="24"/>
        <v/>
      </c>
      <c r="V301" s="11" t="str">
        <f t="shared" si="23"/>
        <v/>
      </c>
    </row>
    <row r="302" spans="1:22" ht="15" customHeight="1">
      <c r="A302" s="4"/>
      <c r="B302" s="15"/>
      <c r="C302" s="4"/>
      <c r="D302" s="4"/>
      <c r="E302" s="4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8" t="str">
        <f t="shared" si="25"/>
        <v/>
      </c>
      <c r="S302" s="8" t="str">
        <f t="shared" si="21"/>
        <v/>
      </c>
      <c r="T302" s="8" t="str">
        <f t="shared" si="22"/>
        <v/>
      </c>
      <c r="U302" s="11" t="str">
        <f t="shared" si="24"/>
        <v/>
      </c>
      <c r="V302" s="11" t="str">
        <f t="shared" si="23"/>
        <v/>
      </c>
    </row>
    <row r="303" spans="1:22" ht="15" customHeight="1">
      <c r="A303" s="4"/>
      <c r="B303" s="15"/>
      <c r="C303" s="4"/>
      <c r="D303" s="4"/>
      <c r="E303" s="4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8" t="str">
        <f t="shared" si="25"/>
        <v/>
      </c>
      <c r="S303" s="8" t="str">
        <f t="shared" si="21"/>
        <v/>
      </c>
      <c r="T303" s="8" t="str">
        <f t="shared" si="22"/>
        <v/>
      </c>
      <c r="U303" s="11" t="str">
        <f t="shared" si="24"/>
        <v/>
      </c>
      <c r="V303" s="11" t="str">
        <f t="shared" si="23"/>
        <v/>
      </c>
    </row>
    <row r="304" spans="1:22" ht="15" customHeight="1">
      <c r="A304" s="4"/>
      <c r="B304" s="15"/>
      <c r="C304" s="4"/>
      <c r="D304" s="4"/>
      <c r="E304" s="4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8" t="str">
        <f t="shared" si="25"/>
        <v/>
      </c>
      <c r="S304" s="8" t="str">
        <f t="shared" si="21"/>
        <v/>
      </c>
      <c r="T304" s="8" t="str">
        <f t="shared" si="22"/>
        <v/>
      </c>
      <c r="U304" s="11" t="str">
        <f t="shared" si="24"/>
        <v/>
      </c>
      <c r="V304" s="11" t="str">
        <f t="shared" si="23"/>
        <v/>
      </c>
    </row>
    <row r="305" spans="1:22" ht="15" customHeight="1">
      <c r="A305" s="4"/>
      <c r="B305" s="15"/>
      <c r="C305" s="4"/>
      <c r="D305" s="4"/>
      <c r="E305" s="4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8" t="str">
        <f t="shared" si="25"/>
        <v/>
      </c>
      <c r="S305" s="8" t="str">
        <f t="shared" si="21"/>
        <v/>
      </c>
      <c r="T305" s="8" t="str">
        <f t="shared" si="22"/>
        <v/>
      </c>
      <c r="U305" s="11" t="str">
        <f t="shared" si="24"/>
        <v/>
      </c>
      <c r="V305" s="11" t="str">
        <f t="shared" si="23"/>
        <v/>
      </c>
    </row>
    <row r="306" spans="1:22" ht="15" customHeight="1">
      <c r="A306" s="4"/>
      <c r="B306" s="15"/>
      <c r="C306" s="4"/>
      <c r="D306" s="4"/>
      <c r="E306" s="4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8" t="str">
        <f t="shared" si="25"/>
        <v/>
      </c>
      <c r="S306" s="8" t="str">
        <f t="shared" si="21"/>
        <v/>
      </c>
      <c r="T306" s="8" t="str">
        <f t="shared" si="22"/>
        <v/>
      </c>
      <c r="U306" s="11" t="str">
        <f t="shared" si="24"/>
        <v/>
      </c>
      <c r="V306" s="11" t="str">
        <f t="shared" si="23"/>
        <v/>
      </c>
    </row>
    <row r="307" spans="1:22" ht="15" customHeight="1">
      <c r="A307" s="4"/>
      <c r="B307" s="15"/>
      <c r="C307" s="4"/>
      <c r="D307" s="4"/>
      <c r="E307" s="4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8" t="str">
        <f t="shared" si="25"/>
        <v/>
      </c>
      <c r="S307" s="8" t="str">
        <f t="shared" si="21"/>
        <v/>
      </c>
      <c r="T307" s="8" t="str">
        <f t="shared" si="22"/>
        <v/>
      </c>
      <c r="U307" s="11" t="str">
        <f t="shared" si="24"/>
        <v/>
      </c>
      <c r="V307" s="11" t="str">
        <f t="shared" si="23"/>
        <v/>
      </c>
    </row>
    <row r="308" spans="1:22" ht="15" customHeight="1">
      <c r="A308" s="4"/>
      <c r="B308" s="15"/>
      <c r="C308" s="4"/>
      <c r="D308" s="4"/>
      <c r="E308" s="4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8" t="str">
        <f t="shared" si="25"/>
        <v/>
      </c>
      <c r="S308" s="8" t="str">
        <f t="shared" si="21"/>
        <v/>
      </c>
      <c r="T308" s="8" t="str">
        <f t="shared" si="22"/>
        <v/>
      </c>
      <c r="U308" s="11" t="str">
        <f t="shared" si="24"/>
        <v/>
      </c>
      <c r="V308" s="11" t="str">
        <f t="shared" si="23"/>
        <v/>
      </c>
    </row>
    <row r="309" spans="1:22" ht="15" customHeight="1">
      <c r="A309" s="4"/>
      <c r="B309" s="15"/>
      <c r="C309" s="4"/>
      <c r="D309" s="4"/>
      <c r="E309" s="4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8" t="str">
        <f t="shared" si="25"/>
        <v/>
      </c>
      <c r="S309" s="8" t="str">
        <f t="shared" si="21"/>
        <v/>
      </c>
      <c r="T309" s="8" t="str">
        <f t="shared" si="22"/>
        <v/>
      </c>
      <c r="U309" s="11" t="str">
        <f t="shared" si="24"/>
        <v/>
      </c>
      <c r="V309" s="11" t="str">
        <f t="shared" si="23"/>
        <v/>
      </c>
    </row>
    <row r="310" spans="1:22" ht="15" customHeight="1">
      <c r="A310" s="4"/>
      <c r="B310" s="15"/>
      <c r="C310" s="4"/>
      <c r="D310" s="4"/>
      <c r="E310" s="4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8" t="str">
        <f t="shared" si="25"/>
        <v/>
      </c>
      <c r="S310" s="8" t="str">
        <f t="shared" si="21"/>
        <v/>
      </c>
      <c r="T310" s="8" t="str">
        <f t="shared" si="22"/>
        <v/>
      </c>
      <c r="U310" s="11" t="str">
        <f t="shared" si="24"/>
        <v/>
      </c>
      <c r="V310" s="11" t="str">
        <f t="shared" si="23"/>
        <v/>
      </c>
    </row>
    <row r="311" spans="1:22" ht="15" customHeight="1">
      <c r="A311" s="4"/>
      <c r="B311" s="15"/>
      <c r="C311" s="4"/>
      <c r="D311" s="4"/>
      <c r="E311" s="4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8" t="str">
        <f t="shared" si="25"/>
        <v/>
      </c>
      <c r="S311" s="8" t="str">
        <f t="shared" si="21"/>
        <v/>
      </c>
      <c r="T311" s="8" t="str">
        <f t="shared" si="22"/>
        <v/>
      </c>
      <c r="U311" s="11" t="str">
        <f t="shared" si="24"/>
        <v/>
      </c>
      <c r="V311" s="11" t="str">
        <f t="shared" si="23"/>
        <v/>
      </c>
    </row>
    <row r="312" spans="1:22" ht="15" customHeight="1">
      <c r="A312" s="4"/>
      <c r="B312" s="15"/>
      <c r="C312" s="4"/>
      <c r="D312" s="4"/>
      <c r="E312" s="4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8" t="str">
        <f t="shared" si="25"/>
        <v/>
      </c>
      <c r="S312" s="8" t="str">
        <f t="shared" si="21"/>
        <v/>
      </c>
      <c r="T312" s="8" t="str">
        <f t="shared" si="22"/>
        <v/>
      </c>
      <c r="U312" s="11" t="str">
        <f t="shared" si="24"/>
        <v/>
      </c>
      <c r="V312" s="11" t="str">
        <f t="shared" si="23"/>
        <v/>
      </c>
    </row>
    <row r="313" spans="1:22" ht="15" customHeight="1">
      <c r="A313" s="4"/>
      <c r="B313" s="15"/>
      <c r="C313" s="4"/>
      <c r="D313" s="4"/>
      <c r="E313" s="4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8" t="str">
        <f t="shared" si="25"/>
        <v/>
      </c>
      <c r="S313" s="8" t="str">
        <f t="shared" si="21"/>
        <v/>
      </c>
      <c r="T313" s="8" t="str">
        <f t="shared" si="22"/>
        <v/>
      </c>
      <c r="U313" s="11" t="str">
        <f t="shared" si="24"/>
        <v/>
      </c>
      <c r="V313" s="11" t="str">
        <f t="shared" si="23"/>
        <v/>
      </c>
    </row>
    <row r="314" spans="1:22" ht="15" customHeight="1">
      <c r="A314" s="4"/>
      <c r="B314" s="15"/>
      <c r="C314" s="4"/>
      <c r="D314" s="4"/>
      <c r="E314" s="4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8" t="str">
        <f t="shared" si="25"/>
        <v/>
      </c>
      <c r="S314" s="8" t="str">
        <f t="shared" si="21"/>
        <v/>
      </c>
      <c r="T314" s="8" t="str">
        <f t="shared" si="22"/>
        <v/>
      </c>
      <c r="U314" s="11" t="str">
        <f t="shared" si="24"/>
        <v/>
      </c>
      <c r="V314" s="11" t="str">
        <f t="shared" si="23"/>
        <v/>
      </c>
    </row>
    <row r="315" spans="1:22" ht="15" customHeight="1">
      <c r="A315" s="4"/>
      <c r="B315" s="15"/>
      <c r="C315" s="4"/>
      <c r="D315" s="4"/>
      <c r="E315" s="4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8" t="str">
        <f t="shared" si="25"/>
        <v/>
      </c>
      <c r="S315" s="8" t="str">
        <f t="shared" si="21"/>
        <v/>
      </c>
      <c r="T315" s="8" t="str">
        <f t="shared" si="22"/>
        <v/>
      </c>
      <c r="U315" s="11" t="str">
        <f t="shared" si="24"/>
        <v/>
      </c>
      <c r="V315" s="11" t="str">
        <f t="shared" si="23"/>
        <v/>
      </c>
    </row>
    <row r="316" spans="1:22" ht="15" customHeight="1">
      <c r="A316" s="4"/>
      <c r="B316" s="15"/>
      <c r="C316" s="4"/>
      <c r="D316" s="4"/>
      <c r="E316" s="4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8" t="str">
        <f t="shared" si="25"/>
        <v/>
      </c>
      <c r="S316" s="8" t="str">
        <f t="shared" si="21"/>
        <v/>
      </c>
      <c r="T316" s="8" t="str">
        <f t="shared" si="22"/>
        <v/>
      </c>
      <c r="U316" s="11" t="str">
        <f t="shared" si="24"/>
        <v/>
      </c>
      <c r="V316" s="11" t="str">
        <f t="shared" si="23"/>
        <v/>
      </c>
    </row>
    <row r="317" spans="1:22" ht="15" customHeight="1">
      <c r="A317" s="4"/>
      <c r="B317" s="15"/>
      <c r="C317" s="4"/>
      <c r="D317" s="4"/>
      <c r="E317" s="4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8" t="str">
        <f t="shared" si="25"/>
        <v/>
      </c>
      <c r="S317" s="8" t="str">
        <f t="shared" si="21"/>
        <v/>
      </c>
      <c r="T317" s="8" t="str">
        <f t="shared" si="22"/>
        <v/>
      </c>
      <c r="U317" s="11" t="str">
        <f t="shared" si="24"/>
        <v/>
      </c>
      <c r="V317" s="11" t="str">
        <f t="shared" si="23"/>
        <v/>
      </c>
    </row>
    <row r="318" spans="1:22" ht="15" customHeight="1">
      <c r="A318" s="4"/>
      <c r="B318" s="15"/>
      <c r="C318" s="4"/>
      <c r="D318" s="4"/>
      <c r="E318" s="4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8" t="str">
        <f t="shared" si="25"/>
        <v/>
      </c>
      <c r="S318" s="8" t="str">
        <f t="shared" si="21"/>
        <v/>
      </c>
      <c r="T318" s="8" t="str">
        <f t="shared" si="22"/>
        <v/>
      </c>
      <c r="U318" s="11" t="str">
        <f t="shared" si="24"/>
        <v/>
      </c>
      <c r="V318" s="11" t="str">
        <f t="shared" si="23"/>
        <v/>
      </c>
    </row>
    <row r="319" spans="1:22" ht="15" customHeight="1">
      <c r="A319" s="4"/>
      <c r="B319" s="15"/>
      <c r="C319" s="4"/>
      <c r="D319" s="4"/>
      <c r="E319" s="4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8" t="str">
        <f t="shared" si="25"/>
        <v/>
      </c>
      <c r="S319" s="8" t="str">
        <f t="shared" si="21"/>
        <v/>
      </c>
      <c r="T319" s="8" t="str">
        <f t="shared" si="22"/>
        <v/>
      </c>
      <c r="U319" s="11" t="str">
        <f t="shared" si="24"/>
        <v/>
      </c>
      <c r="V319" s="11" t="str">
        <f t="shared" si="23"/>
        <v/>
      </c>
    </row>
    <row r="320" spans="1:22" ht="15" customHeight="1">
      <c r="A320" s="4"/>
      <c r="B320" s="15"/>
      <c r="C320" s="4"/>
      <c r="D320" s="4"/>
      <c r="E320" s="4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8" t="str">
        <f t="shared" si="25"/>
        <v/>
      </c>
      <c r="S320" s="8" t="str">
        <f t="shared" si="21"/>
        <v/>
      </c>
      <c r="T320" s="8" t="str">
        <f t="shared" si="22"/>
        <v/>
      </c>
      <c r="U320" s="11" t="str">
        <f t="shared" si="24"/>
        <v/>
      </c>
      <c r="V320" s="11" t="str">
        <f t="shared" si="23"/>
        <v/>
      </c>
    </row>
    <row r="321" spans="1:22" ht="15" customHeight="1">
      <c r="A321" s="4"/>
      <c r="B321" s="15"/>
      <c r="C321" s="4"/>
      <c r="D321" s="4"/>
      <c r="E321" s="4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8" t="str">
        <f t="shared" si="25"/>
        <v/>
      </c>
      <c r="S321" s="8" t="str">
        <f t="shared" si="21"/>
        <v/>
      </c>
      <c r="T321" s="8" t="str">
        <f t="shared" si="22"/>
        <v/>
      </c>
      <c r="U321" s="11" t="str">
        <f t="shared" si="24"/>
        <v/>
      </c>
      <c r="V321" s="11" t="str">
        <f t="shared" si="23"/>
        <v/>
      </c>
    </row>
    <row r="322" spans="1:22" ht="15" customHeight="1">
      <c r="A322" s="4"/>
      <c r="B322" s="15"/>
      <c r="C322" s="4"/>
      <c r="D322" s="4"/>
      <c r="E322" s="4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8" t="str">
        <f t="shared" si="25"/>
        <v/>
      </c>
      <c r="S322" s="8" t="str">
        <f t="shared" si="21"/>
        <v/>
      </c>
      <c r="T322" s="8" t="str">
        <f t="shared" si="22"/>
        <v/>
      </c>
      <c r="U322" s="11" t="str">
        <f t="shared" si="24"/>
        <v/>
      </c>
      <c r="V322" s="11" t="str">
        <f t="shared" si="23"/>
        <v/>
      </c>
    </row>
    <row r="323" spans="1:22" ht="15" customHeight="1">
      <c r="A323" s="4"/>
      <c r="B323" s="15"/>
      <c r="C323" s="4"/>
      <c r="D323" s="4"/>
      <c r="E323" s="4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8" t="str">
        <f t="shared" si="25"/>
        <v/>
      </c>
      <c r="S323" s="8" t="str">
        <f t="shared" si="21"/>
        <v/>
      </c>
      <c r="T323" s="8" t="str">
        <f t="shared" si="22"/>
        <v/>
      </c>
      <c r="U323" s="11" t="str">
        <f t="shared" si="24"/>
        <v/>
      </c>
      <c r="V323" s="11" t="str">
        <f t="shared" si="23"/>
        <v/>
      </c>
    </row>
    <row r="324" spans="1:22" ht="15" customHeight="1">
      <c r="A324" s="4"/>
      <c r="B324" s="15"/>
      <c r="C324" s="4"/>
      <c r="D324" s="4"/>
      <c r="E324" s="4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8" t="str">
        <f t="shared" si="25"/>
        <v/>
      </c>
      <c r="S324" s="8" t="str">
        <f t="shared" ref="S324:S387" si="26">IF(SUM(G324,I324)=0,"",G324+I324)</f>
        <v/>
      </c>
      <c r="T324" s="8" t="str">
        <f t="shared" ref="T324:T387" si="27">IF(SUM(F324,H324,J324)=0,"",F324*2+H324*3+J324)</f>
        <v/>
      </c>
      <c r="U324" s="11" t="str">
        <f t="shared" si="24"/>
        <v/>
      </c>
      <c r="V324" s="11" t="str">
        <f t="shared" ref="V324:V387" si="28">IF(K324=0,"",J324/K324)</f>
        <v/>
      </c>
    </row>
    <row r="325" spans="1:22" ht="15" customHeight="1">
      <c r="A325" s="4"/>
      <c r="B325" s="15"/>
      <c r="C325" s="4"/>
      <c r="D325" s="4"/>
      <c r="E325" s="4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8" t="str">
        <f t="shared" si="25"/>
        <v/>
      </c>
      <c r="S325" s="8" t="str">
        <f t="shared" si="26"/>
        <v/>
      </c>
      <c r="T325" s="8" t="str">
        <f t="shared" si="27"/>
        <v/>
      </c>
      <c r="U325" s="11" t="str">
        <f t="shared" ref="U325:U388" si="29">IF(S325="","",IF(R325="",0,R325/S325))</f>
        <v/>
      </c>
      <c r="V325" s="11" t="str">
        <f t="shared" si="28"/>
        <v/>
      </c>
    </row>
    <row r="326" spans="1:22" ht="15" customHeight="1">
      <c r="A326" s="4"/>
      <c r="B326" s="15"/>
      <c r="C326" s="4"/>
      <c r="D326" s="4"/>
      <c r="E326" s="4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8" t="str">
        <f t="shared" si="25"/>
        <v/>
      </c>
      <c r="S326" s="8" t="str">
        <f t="shared" si="26"/>
        <v/>
      </c>
      <c r="T326" s="8" t="str">
        <f t="shared" si="27"/>
        <v/>
      </c>
      <c r="U326" s="11" t="str">
        <f t="shared" si="29"/>
        <v/>
      </c>
      <c r="V326" s="11" t="str">
        <f t="shared" si="28"/>
        <v/>
      </c>
    </row>
    <row r="327" spans="1:22" ht="15" customHeight="1">
      <c r="A327" s="4"/>
      <c r="B327" s="15"/>
      <c r="C327" s="4"/>
      <c r="D327" s="4"/>
      <c r="E327" s="4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8" t="str">
        <f t="shared" si="25"/>
        <v/>
      </c>
      <c r="S327" s="8" t="str">
        <f t="shared" si="26"/>
        <v/>
      </c>
      <c r="T327" s="8" t="str">
        <f t="shared" si="27"/>
        <v/>
      </c>
      <c r="U327" s="11" t="str">
        <f t="shared" si="29"/>
        <v/>
      </c>
      <c r="V327" s="11" t="str">
        <f t="shared" si="28"/>
        <v/>
      </c>
    </row>
    <row r="328" spans="1:22" ht="15" customHeight="1">
      <c r="A328" s="4"/>
      <c r="B328" s="15"/>
      <c r="C328" s="4"/>
      <c r="D328" s="4"/>
      <c r="E328" s="4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8" t="str">
        <f t="shared" si="25"/>
        <v/>
      </c>
      <c r="S328" s="8" t="str">
        <f t="shared" si="26"/>
        <v/>
      </c>
      <c r="T328" s="8" t="str">
        <f t="shared" si="27"/>
        <v/>
      </c>
      <c r="U328" s="11" t="str">
        <f t="shared" si="29"/>
        <v/>
      </c>
      <c r="V328" s="11" t="str">
        <f t="shared" si="28"/>
        <v/>
      </c>
    </row>
    <row r="329" spans="1:22" ht="15" customHeight="1">
      <c r="A329" s="4"/>
      <c r="B329" s="15"/>
      <c r="C329" s="4"/>
      <c r="D329" s="4"/>
      <c r="E329" s="4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8" t="str">
        <f t="shared" si="25"/>
        <v/>
      </c>
      <c r="S329" s="8" t="str">
        <f t="shared" si="26"/>
        <v/>
      </c>
      <c r="T329" s="8" t="str">
        <f t="shared" si="27"/>
        <v/>
      </c>
      <c r="U329" s="11" t="str">
        <f t="shared" si="29"/>
        <v/>
      </c>
      <c r="V329" s="11" t="str">
        <f t="shared" si="28"/>
        <v/>
      </c>
    </row>
    <row r="330" spans="1:22" ht="15" customHeight="1">
      <c r="A330" s="4"/>
      <c r="B330" s="15"/>
      <c r="C330" s="4"/>
      <c r="D330" s="4"/>
      <c r="E330" s="4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8" t="str">
        <f t="shared" si="25"/>
        <v/>
      </c>
      <c r="S330" s="8" t="str">
        <f t="shared" si="26"/>
        <v/>
      </c>
      <c r="T330" s="8" t="str">
        <f t="shared" si="27"/>
        <v/>
      </c>
      <c r="U330" s="11" t="str">
        <f t="shared" si="29"/>
        <v/>
      </c>
      <c r="V330" s="11" t="str">
        <f t="shared" si="28"/>
        <v/>
      </c>
    </row>
    <row r="331" spans="1:22" ht="15" customHeight="1">
      <c r="A331" s="4"/>
      <c r="B331" s="15"/>
      <c r="C331" s="4"/>
      <c r="D331" s="4"/>
      <c r="E331" s="4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8" t="str">
        <f t="shared" si="25"/>
        <v/>
      </c>
      <c r="S331" s="8" t="str">
        <f t="shared" si="26"/>
        <v/>
      </c>
      <c r="T331" s="8" t="str">
        <f t="shared" si="27"/>
        <v/>
      </c>
      <c r="U331" s="11" t="str">
        <f t="shared" si="29"/>
        <v/>
      </c>
      <c r="V331" s="11" t="str">
        <f t="shared" si="28"/>
        <v/>
      </c>
    </row>
    <row r="332" spans="1:22" ht="15" customHeight="1">
      <c r="A332" s="4"/>
      <c r="B332" s="15"/>
      <c r="C332" s="4"/>
      <c r="D332" s="4"/>
      <c r="E332" s="4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8" t="str">
        <f t="shared" si="25"/>
        <v/>
      </c>
      <c r="S332" s="8" t="str">
        <f t="shared" si="26"/>
        <v/>
      </c>
      <c r="T332" s="8" t="str">
        <f t="shared" si="27"/>
        <v/>
      </c>
      <c r="U332" s="11" t="str">
        <f t="shared" si="29"/>
        <v/>
      </c>
      <c r="V332" s="11" t="str">
        <f t="shared" si="28"/>
        <v/>
      </c>
    </row>
    <row r="333" spans="1:22" ht="15" customHeight="1">
      <c r="A333" s="4"/>
      <c r="B333" s="15"/>
      <c r="C333" s="4"/>
      <c r="D333" s="4"/>
      <c r="E333" s="4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8" t="str">
        <f t="shared" si="25"/>
        <v/>
      </c>
      <c r="S333" s="8" t="str">
        <f t="shared" si="26"/>
        <v/>
      </c>
      <c r="T333" s="8" t="str">
        <f t="shared" si="27"/>
        <v/>
      </c>
      <c r="U333" s="11" t="str">
        <f t="shared" si="29"/>
        <v/>
      </c>
      <c r="V333" s="11" t="str">
        <f t="shared" si="28"/>
        <v/>
      </c>
    </row>
    <row r="334" spans="1:22" ht="15" customHeight="1">
      <c r="A334" s="4"/>
      <c r="B334" s="15"/>
      <c r="C334" s="4"/>
      <c r="D334" s="4"/>
      <c r="E334" s="4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8" t="str">
        <f t="shared" si="25"/>
        <v/>
      </c>
      <c r="S334" s="8" t="str">
        <f t="shared" si="26"/>
        <v/>
      </c>
      <c r="T334" s="8" t="str">
        <f t="shared" si="27"/>
        <v/>
      </c>
      <c r="U334" s="11" t="str">
        <f t="shared" si="29"/>
        <v/>
      </c>
      <c r="V334" s="11" t="str">
        <f t="shared" si="28"/>
        <v/>
      </c>
    </row>
    <row r="335" spans="1:22" ht="15" customHeight="1">
      <c r="A335" s="4"/>
      <c r="B335" s="15"/>
      <c r="C335" s="4"/>
      <c r="D335" s="4"/>
      <c r="E335" s="4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8" t="str">
        <f t="shared" si="25"/>
        <v/>
      </c>
      <c r="S335" s="8" t="str">
        <f t="shared" si="26"/>
        <v/>
      </c>
      <c r="T335" s="8" t="str">
        <f t="shared" si="27"/>
        <v/>
      </c>
      <c r="U335" s="11" t="str">
        <f t="shared" si="29"/>
        <v/>
      </c>
      <c r="V335" s="11" t="str">
        <f t="shared" si="28"/>
        <v/>
      </c>
    </row>
    <row r="336" spans="1:22" ht="15" customHeight="1">
      <c r="A336" s="4"/>
      <c r="B336" s="15"/>
      <c r="C336" s="4"/>
      <c r="D336" s="4"/>
      <c r="E336" s="4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8" t="str">
        <f t="shared" si="25"/>
        <v/>
      </c>
      <c r="S336" s="8" t="str">
        <f t="shared" si="26"/>
        <v/>
      </c>
      <c r="T336" s="8" t="str">
        <f t="shared" si="27"/>
        <v/>
      </c>
      <c r="U336" s="11" t="str">
        <f t="shared" si="29"/>
        <v/>
      </c>
      <c r="V336" s="11" t="str">
        <f t="shared" si="28"/>
        <v/>
      </c>
    </row>
    <row r="337" spans="1:22" ht="15" customHeight="1">
      <c r="A337" s="4"/>
      <c r="B337" s="15"/>
      <c r="C337" s="4"/>
      <c r="D337" s="4"/>
      <c r="E337" s="4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8" t="str">
        <f t="shared" si="25"/>
        <v/>
      </c>
      <c r="S337" s="8" t="str">
        <f t="shared" si="26"/>
        <v/>
      </c>
      <c r="T337" s="8" t="str">
        <f t="shared" si="27"/>
        <v/>
      </c>
      <c r="U337" s="11" t="str">
        <f t="shared" si="29"/>
        <v/>
      </c>
      <c r="V337" s="11" t="str">
        <f t="shared" si="28"/>
        <v/>
      </c>
    </row>
    <row r="338" spans="1:22" ht="15" customHeight="1">
      <c r="A338" s="4"/>
      <c r="B338" s="15"/>
      <c r="C338" s="4"/>
      <c r="D338" s="4"/>
      <c r="E338" s="4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8" t="str">
        <f t="shared" si="25"/>
        <v/>
      </c>
      <c r="S338" s="8" t="str">
        <f t="shared" si="26"/>
        <v/>
      </c>
      <c r="T338" s="8" t="str">
        <f t="shared" si="27"/>
        <v/>
      </c>
      <c r="U338" s="11" t="str">
        <f t="shared" si="29"/>
        <v/>
      </c>
      <c r="V338" s="11" t="str">
        <f t="shared" si="28"/>
        <v/>
      </c>
    </row>
    <row r="339" spans="1:22" ht="15" customHeight="1">
      <c r="A339" s="4"/>
      <c r="B339" s="15"/>
      <c r="C339" s="4"/>
      <c r="D339" s="4"/>
      <c r="E339" s="4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8" t="str">
        <f t="shared" si="25"/>
        <v/>
      </c>
      <c r="S339" s="8" t="str">
        <f t="shared" si="26"/>
        <v/>
      </c>
      <c r="T339" s="8" t="str">
        <f t="shared" si="27"/>
        <v/>
      </c>
      <c r="U339" s="11" t="str">
        <f t="shared" si="29"/>
        <v/>
      </c>
      <c r="V339" s="11" t="str">
        <f t="shared" si="28"/>
        <v/>
      </c>
    </row>
    <row r="340" spans="1:22" ht="15" customHeight="1">
      <c r="A340" s="4"/>
      <c r="B340" s="15"/>
      <c r="C340" s="4"/>
      <c r="D340" s="4"/>
      <c r="E340" s="4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8" t="str">
        <f t="shared" si="25"/>
        <v/>
      </c>
      <c r="S340" s="8" t="str">
        <f t="shared" si="26"/>
        <v/>
      </c>
      <c r="T340" s="8" t="str">
        <f t="shared" si="27"/>
        <v/>
      </c>
      <c r="U340" s="11" t="str">
        <f t="shared" si="29"/>
        <v/>
      </c>
      <c r="V340" s="11" t="str">
        <f t="shared" si="28"/>
        <v/>
      </c>
    </row>
    <row r="341" spans="1:22" ht="15" customHeight="1">
      <c r="A341" s="4"/>
      <c r="B341" s="15"/>
      <c r="C341" s="4"/>
      <c r="D341" s="4"/>
      <c r="E341" s="4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8" t="str">
        <f t="shared" si="25"/>
        <v/>
      </c>
      <c r="S341" s="8" t="str">
        <f t="shared" si="26"/>
        <v/>
      </c>
      <c r="T341" s="8" t="str">
        <f t="shared" si="27"/>
        <v/>
      </c>
      <c r="U341" s="11" t="str">
        <f t="shared" si="29"/>
        <v/>
      </c>
      <c r="V341" s="11" t="str">
        <f t="shared" si="28"/>
        <v/>
      </c>
    </row>
    <row r="342" spans="1:22" ht="15" customHeight="1">
      <c r="A342" s="4"/>
      <c r="B342" s="15"/>
      <c r="C342" s="4"/>
      <c r="D342" s="4"/>
      <c r="E342" s="4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8" t="str">
        <f t="shared" si="25"/>
        <v/>
      </c>
      <c r="S342" s="8" t="str">
        <f t="shared" si="26"/>
        <v/>
      </c>
      <c r="T342" s="8" t="str">
        <f t="shared" si="27"/>
        <v/>
      </c>
      <c r="U342" s="11" t="str">
        <f t="shared" si="29"/>
        <v/>
      </c>
      <c r="V342" s="11" t="str">
        <f t="shared" si="28"/>
        <v/>
      </c>
    </row>
    <row r="343" spans="1:22" ht="15" customHeight="1">
      <c r="A343" s="4"/>
      <c r="B343" s="15"/>
      <c r="C343" s="4"/>
      <c r="D343" s="4"/>
      <c r="E343" s="4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8" t="str">
        <f t="shared" si="25"/>
        <v/>
      </c>
      <c r="S343" s="8" t="str">
        <f t="shared" si="26"/>
        <v/>
      </c>
      <c r="T343" s="8" t="str">
        <f t="shared" si="27"/>
        <v/>
      </c>
      <c r="U343" s="11" t="str">
        <f t="shared" si="29"/>
        <v/>
      </c>
      <c r="V343" s="11" t="str">
        <f t="shared" si="28"/>
        <v/>
      </c>
    </row>
    <row r="344" spans="1:22" ht="15" customHeight="1">
      <c r="A344" s="4"/>
      <c r="B344" s="15"/>
      <c r="C344" s="4"/>
      <c r="D344" s="4"/>
      <c r="E344" s="4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8" t="str">
        <f t="shared" si="25"/>
        <v/>
      </c>
      <c r="S344" s="8" t="str">
        <f t="shared" si="26"/>
        <v/>
      </c>
      <c r="T344" s="8" t="str">
        <f t="shared" si="27"/>
        <v/>
      </c>
      <c r="U344" s="11" t="str">
        <f t="shared" si="29"/>
        <v/>
      </c>
      <c r="V344" s="11" t="str">
        <f t="shared" si="28"/>
        <v/>
      </c>
    </row>
    <row r="345" spans="1:22" ht="15" customHeight="1">
      <c r="A345" s="4"/>
      <c r="B345" s="15"/>
      <c r="C345" s="4"/>
      <c r="D345" s="4"/>
      <c r="E345" s="4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8" t="str">
        <f t="shared" si="25"/>
        <v/>
      </c>
      <c r="S345" s="8" t="str">
        <f t="shared" si="26"/>
        <v/>
      </c>
      <c r="T345" s="8" t="str">
        <f t="shared" si="27"/>
        <v/>
      </c>
      <c r="U345" s="11" t="str">
        <f t="shared" si="29"/>
        <v/>
      </c>
      <c r="V345" s="11" t="str">
        <f t="shared" si="28"/>
        <v/>
      </c>
    </row>
    <row r="346" spans="1:22" ht="15" customHeight="1">
      <c r="A346" s="4"/>
      <c r="B346" s="15"/>
      <c r="C346" s="4"/>
      <c r="D346" s="4"/>
      <c r="E346" s="4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8" t="str">
        <f t="shared" si="25"/>
        <v/>
      </c>
      <c r="S346" s="8" t="str">
        <f t="shared" si="26"/>
        <v/>
      </c>
      <c r="T346" s="8" t="str">
        <f t="shared" si="27"/>
        <v/>
      </c>
      <c r="U346" s="11" t="str">
        <f t="shared" si="29"/>
        <v/>
      </c>
      <c r="V346" s="11" t="str">
        <f t="shared" si="28"/>
        <v/>
      </c>
    </row>
    <row r="347" spans="1:22" ht="15" customHeight="1">
      <c r="A347" s="4"/>
      <c r="B347" s="15"/>
      <c r="C347" s="4"/>
      <c r="D347" s="4"/>
      <c r="E347" s="4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8" t="str">
        <f t="shared" si="25"/>
        <v/>
      </c>
      <c r="S347" s="8" t="str">
        <f t="shared" si="26"/>
        <v/>
      </c>
      <c r="T347" s="8" t="str">
        <f t="shared" si="27"/>
        <v/>
      </c>
      <c r="U347" s="11" t="str">
        <f t="shared" si="29"/>
        <v/>
      </c>
      <c r="V347" s="11" t="str">
        <f t="shared" si="28"/>
        <v/>
      </c>
    </row>
    <row r="348" spans="1:22" ht="15" customHeight="1">
      <c r="A348" s="4"/>
      <c r="B348" s="15"/>
      <c r="C348" s="4"/>
      <c r="D348" s="4"/>
      <c r="E348" s="4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8" t="str">
        <f t="shared" si="25"/>
        <v/>
      </c>
      <c r="S348" s="8" t="str">
        <f t="shared" si="26"/>
        <v/>
      </c>
      <c r="T348" s="8" t="str">
        <f t="shared" si="27"/>
        <v/>
      </c>
      <c r="U348" s="11" t="str">
        <f t="shared" si="29"/>
        <v/>
      </c>
      <c r="V348" s="11" t="str">
        <f t="shared" si="28"/>
        <v/>
      </c>
    </row>
    <row r="349" spans="1:22" ht="15" customHeight="1">
      <c r="A349" s="4"/>
      <c r="B349" s="15"/>
      <c r="C349" s="4"/>
      <c r="D349" s="4"/>
      <c r="E349" s="4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8" t="str">
        <f t="shared" si="25"/>
        <v/>
      </c>
      <c r="S349" s="8" t="str">
        <f t="shared" si="26"/>
        <v/>
      </c>
      <c r="T349" s="8" t="str">
        <f t="shared" si="27"/>
        <v/>
      </c>
      <c r="U349" s="11" t="str">
        <f t="shared" si="29"/>
        <v/>
      </c>
      <c r="V349" s="11" t="str">
        <f t="shared" si="28"/>
        <v/>
      </c>
    </row>
    <row r="350" spans="1:22" ht="15" customHeight="1">
      <c r="A350" s="4"/>
      <c r="B350" s="15"/>
      <c r="C350" s="4"/>
      <c r="D350" s="4"/>
      <c r="E350" s="4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8" t="str">
        <f t="shared" si="25"/>
        <v/>
      </c>
      <c r="S350" s="8" t="str">
        <f t="shared" si="26"/>
        <v/>
      </c>
      <c r="T350" s="8" t="str">
        <f t="shared" si="27"/>
        <v/>
      </c>
      <c r="U350" s="11" t="str">
        <f t="shared" si="29"/>
        <v/>
      </c>
      <c r="V350" s="11" t="str">
        <f t="shared" si="28"/>
        <v/>
      </c>
    </row>
    <row r="351" spans="1:22" ht="15" customHeight="1">
      <c r="A351" s="4"/>
      <c r="B351" s="15"/>
      <c r="C351" s="4"/>
      <c r="D351" s="4"/>
      <c r="E351" s="4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8" t="str">
        <f t="shared" si="25"/>
        <v/>
      </c>
      <c r="S351" s="8" t="str">
        <f t="shared" si="26"/>
        <v/>
      </c>
      <c r="T351" s="8" t="str">
        <f t="shared" si="27"/>
        <v/>
      </c>
      <c r="U351" s="11" t="str">
        <f t="shared" si="29"/>
        <v/>
      </c>
      <c r="V351" s="11" t="str">
        <f t="shared" si="28"/>
        <v/>
      </c>
    </row>
    <row r="352" spans="1:22" ht="15" customHeight="1">
      <c r="A352" s="4"/>
      <c r="B352" s="15"/>
      <c r="C352" s="4"/>
      <c r="D352" s="4"/>
      <c r="E352" s="4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8" t="str">
        <f t="shared" si="25"/>
        <v/>
      </c>
      <c r="S352" s="8" t="str">
        <f t="shared" si="26"/>
        <v/>
      </c>
      <c r="T352" s="8" t="str">
        <f t="shared" si="27"/>
        <v/>
      </c>
      <c r="U352" s="11" t="str">
        <f t="shared" si="29"/>
        <v/>
      </c>
      <c r="V352" s="11" t="str">
        <f t="shared" si="28"/>
        <v/>
      </c>
    </row>
    <row r="353" spans="1:22" ht="15" customHeight="1">
      <c r="A353" s="4"/>
      <c r="B353" s="15"/>
      <c r="C353" s="4"/>
      <c r="D353" s="4"/>
      <c r="E353" s="4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8" t="str">
        <f t="shared" si="25"/>
        <v/>
      </c>
      <c r="S353" s="8" t="str">
        <f t="shared" si="26"/>
        <v/>
      </c>
      <c r="T353" s="8" t="str">
        <f t="shared" si="27"/>
        <v/>
      </c>
      <c r="U353" s="11" t="str">
        <f t="shared" si="29"/>
        <v/>
      </c>
      <c r="V353" s="11" t="str">
        <f t="shared" si="28"/>
        <v/>
      </c>
    </row>
    <row r="354" spans="1:22" ht="15" customHeight="1">
      <c r="A354" s="4"/>
      <c r="B354" s="15"/>
      <c r="C354" s="4"/>
      <c r="D354" s="4"/>
      <c r="E354" s="4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8" t="str">
        <f t="shared" ref="R354:R417" si="30">IF(AND(F354="",H354=""),"",IF(SUM(F354,H354)=0,0,F354+H354))</f>
        <v/>
      </c>
      <c r="S354" s="8" t="str">
        <f t="shared" si="26"/>
        <v/>
      </c>
      <c r="T354" s="8" t="str">
        <f t="shared" si="27"/>
        <v/>
      </c>
      <c r="U354" s="11" t="str">
        <f t="shared" si="29"/>
        <v/>
      </c>
      <c r="V354" s="11" t="str">
        <f t="shared" si="28"/>
        <v/>
      </c>
    </row>
    <row r="355" spans="1:22" ht="15" customHeight="1">
      <c r="A355" s="4"/>
      <c r="B355" s="15"/>
      <c r="C355" s="4"/>
      <c r="D355" s="4"/>
      <c r="E355" s="4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8" t="str">
        <f t="shared" si="30"/>
        <v/>
      </c>
      <c r="S355" s="8" t="str">
        <f t="shared" si="26"/>
        <v/>
      </c>
      <c r="T355" s="8" t="str">
        <f t="shared" si="27"/>
        <v/>
      </c>
      <c r="U355" s="11" t="str">
        <f t="shared" si="29"/>
        <v/>
      </c>
      <c r="V355" s="11" t="str">
        <f t="shared" si="28"/>
        <v/>
      </c>
    </row>
    <row r="356" spans="1:22" ht="15" customHeight="1">
      <c r="A356" s="4"/>
      <c r="B356" s="15"/>
      <c r="C356" s="4"/>
      <c r="D356" s="4"/>
      <c r="E356" s="4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8" t="str">
        <f t="shared" si="30"/>
        <v/>
      </c>
      <c r="S356" s="8" t="str">
        <f t="shared" si="26"/>
        <v/>
      </c>
      <c r="T356" s="8" t="str">
        <f t="shared" si="27"/>
        <v/>
      </c>
      <c r="U356" s="11" t="str">
        <f t="shared" si="29"/>
        <v/>
      </c>
      <c r="V356" s="11" t="str">
        <f t="shared" si="28"/>
        <v/>
      </c>
    </row>
    <row r="357" spans="1:22" ht="15" customHeight="1">
      <c r="A357" s="4"/>
      <c r="B357" s="15"/>
      <c r="C357" s="4"/>
      <c r="D357" s="4"/>
      <c r="E357" s="4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8" t="str">
        <f t="shared" si="30"/>
        <v/>
      </c>
      <c r="S357" s="8" t="str">
        <f t="shared" si="26"/>
        <v/>
      </c>
      <c r="T357" s="8" t="str">
        <f t="shared" si="27"/>
        <v/>
      </c>
      <c r="U357" s="11" t="str">
        <f t="shared" si="29"/>
        <v/>
      </c>
      <c r="V357" s="11" t="str">
        <f t="shared" si="28"/>
        <v/>
      </c>
    </row>
    <row r="358" spans="1:22" ht="15" customHeight="1">
      <c r="A358" s="4"/>
      <c r="B358" s="15"/>
      <c r="C358" s="4"/>
      <c r="D358" s="4"/>
      <c r="E358" s="4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8" t="str">
        <f t="shared" si="30"/>
        <v/>
      </c>
      <c r="S358" s="8" t="str">
        <f t="shared" si="26"/>
        <v/>
      </c>
      <c r="T358" s="8" t="str">
        <f t="shared" si="27"/>
        <v/>
      </c>
      <c r="U358" s="11" t="str">
        <f t="shared" si="29"/>
        <v/>
      </c>
      <c r="V358" s="11" t="str">
        <f t="shared" si="28"/>
        <v/>
      </c>
    </row>
    <row r="359" spans="1:22" ht="15" customHeight="1">
      <c r="A359" s="4"/>
      <c r="B359" s="15"/>
      <c r="C359" s="4"/>
      <c r="D359" s="4"/>
      <c r="E359" s="4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8" t="str">
        <f t="shared" si="30"/>
        <v/>
      </c>
      <c r="S359" s="8" t="str">
        <f t="shared" si="26"/>
        <v/>
      </c>
      <c r="T359" s="8" t="str">
        <f t="shared" si="27"/>
        <v/>
      </c>
      <c r="U359" s="11" t="str">
        <f t="shared" si="29"/>
        <v/>
      </c>
      <c r="V359" s="11" t="str">
        <f t="shared" si="28"/>
        <v/>
      </c>
    </row>
    <row r="360" spans="1:22" ht="15" customHeight="1">
      <c r="A360" s="4"/>
      <c r="B360" s="15"/>
      <c r="C360" s="4"/>
      <c r="D360" s="4"/>
      <c r="E360" s="4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8" t="str">
        <f t="shared" si="30"/>
        <v/>
      </c>
      <c r="S360" s="8" t="str">
        <f t="shared" si="26"/>
        <v/>
      </c>
      <c r="T360" s="8" t="str">
        <f t="shared" si="27"/>
        <v/>
      </c>
      <c r="U360" s="11" t="str">
        <f t="shared" si="29"/>
        <v/>
      </c>
      <c r="V360" s="11" t="str">
        <f t="shared" si="28"/>
        <v/>
      </c>
    </row>
    <row r="361" spans="1:22" ht="15" customHeight="1">
      <c r="A361" s="4"/>
      <c r="B361" s="15"/>
      <c r="C361" s="4"/>
      <c r="D361" s="4"/>
      <c r="E361" s="4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8" t="str">
        <f t="shared" si="30"/>
        <v/>
      </c>
      <c r="S361" s="8" t="str">
        <f t="shared" si="26"/>
        <v/>
      </c>
      <c r="T361" s="8" t="str">
        <f t="shared" si="27"/>
        <v/>
      </c>
      <c r="U361" s="11" t="str">
        <f t="shared" si="29"/>
        <v/>
      </c>
      <c r="V361" s="11" t="str">
        <f t="shared" si="28"/>
        <v/>
      </c>
    </row>
    <row r="362" spans="1:22" ht="15" customHeight="1">
      <c r="A362" s="4"/>
      <c r="B362" s="15"/>
      <c r="C362" s="4"/>
      <c r="D362" s="4"/>
      <c r="E362" s="4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8" t="str">
        <f t="shared" si="30"/>
        <v/>
      </c>
      <c r="S362" s="8" t="str">
        <f t="shared" si="26"/>
        <v/>
      </c>
      <c r="T362" s="8" t="str">
        <f t="shared" si="27"/>
        <v/>
      </c>
      <c r="U362" s="11" t="str">
        <f t="shared" si="29"/>
        <v/>
      </c>
      <c r="V362" s="11" t="str">
        <f t="shared" si="28"/>
        <v/>
      </c>
    </row>
    <row r="363" spans="1:22" ht="15" customHeight="1">
      <c r="A363" s="4"/>
      <c r="B363" s="15"/>
      <c r="C363" s="4"/>
      <c r="D363" s="4"/>
      <c r="E363" s="4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8" t="str">
        <f t="shared" si="30"/>
        <v/>
      </c>
      <c r="S363" s="8" t="str">
        <f t="shared" si="26"/>
        <v/>
      </c>
      <c r="T363" s="8" t="str">
        <f t="shared" si="27"/>
        <v/>
      </c>
      <c r="U363" s="11" t="str">
        <f t="shared" si="29"/>
        <v/>
      </c>
      <c r="V363" s="11" t="str">
        <f t="shared" si="28"/>
        <v/>
      </c>
    </row>
    <row r="364" spans="1:22" ht="15" customHeight="1">
      <c r="A364" s="4"/>
      <c r="B364" s="15"/>
      <c r="C364" s="4"/>
      <c r="D364" s="4"/>
      <c r="E364" s="4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8" t="str">
        <f t="shared" si="30"/>
        <v/>
      </c>
      <c r="S364" s="8" t="str">
        <f t="shared" si="26"/>
        <v/>
      </c>
      <c r="T364" s="8" t="str">
        <f t="shared" si="27"/>
        <v/>
      </c>
      <c r="U364" s="11" t="str">
        <f t="shared" si="29"/>
        <v/>
      </c>
      <c r="V364" s="11" t="str">
        <f t="shared" si="28"/>
        <v/>
      </c>
    </row>
    <row r="365" spans="1:22" ht="15" customHeight="1">
      <c r="A365" s="4"/>
      <c r="B365" s="15"/>
      <c r="C365" s="4"/>
      <c r="D365" s="4"/>
      <c r="E365" s="4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8" t="str">
        <f t="shared" si="30"/>
        <v/>
      </c>
      <c r="S365" s="8" t="str">
        <f t="shared" si="26"/>
        <v/>
      </c>
      <c r="T365" s="8" t="str">
        <f t="shared" si="27"/>
        <v/>
      </c>
      <c r="U365" s="11" t="str">
        <f t="shared" si="29"/>
        <v/>
      </c>
      <c r="V365" s="11" t="str">
        <f t="shared" si="28"/>
        <v/>
      </c>
    </row>
    <row r="366" spans="1:22" ht="15" customHeight="1">
      <c r="A366" s="4"/>
      <c r="B366" s="15"/>
      <c r="C366" s="4"/>
      <c r="D366" s="4"/>
      <c r="E366" s="4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8" t="str">
        <f t="shared" si="30"/>
        <v/>
      </c>
      <c r="S366" s="8" t="str">
        <f t="shared" si="26"/>
        <v/>
      </c>
      <c r="T366" s="8" t="str">
        <f t="shared" si="27"/>
        <v/>
      </c>
      <c r="U366" s="11" t="str">
        <f t="shared" si="29"/>
        <v/>
      </c>
      <c r="V366" s="11" t="str">
        <f t="shared" si="28"/>
        <v/>
      </c>
    </row>
    <row r="367" spans="1:22" ht="15" customHeight="1">
      <c r="A367" s="4"/>
      <c r="B367" s="15"/>
      <c r="C367" s="4"/>
      <c r="D367" s="4"/>
      <c r="E367" s="4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8" t="str">
        <f t="shared" si="30"/>
        <v/>
      </c>
      <c r="S367" s="8" t="str">
        <f t="shared" si="26"/>
        <v/>
      </c>
      <c r="T367" s="8" t="str">
        <f t="shared" si="27"/>
        <v/>
      </c>
      <c r="U367" s="11" t="str">
        <f t="shared" si="29"/>
        <v/>
      </c>
      <c r="V367" s="11" t="str">
        <f t="shared" si="28"/>
        <v/>
      </c>
    </row>
    <row r="368" spans="1:22" ht="15" customHeight="1">
      <c r="A368" s="4"/>
      <c r="B368" s="15"/>
      <c r="C368" s="4"/>
      <c r="D368" s="4"/>
      <c r="E368" s="4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8" t="str">
        <f t="shared" si="30"/>
        <v/>
      </c>
      <c r="S368" s="8" t="str">
        <f t="shared" si="26"/>
        <v/>
      </c>
      <c r="T368" s="8" t="str">
        <f t="shared" si="27"/>
        <v/>
      </c>
      <c r="U368" s="11" t="str">
        <f t="shared" si="29"/>
        <v/>
      </c>
      <c r="V368" s="11" t="str">
        <f t="shared" si="28"/>
        <v/>
      </c>
    </row>
    <row r="369" spans="1:22" ht="15" customHeight="1">
      <c r="A369" s="4"/>
      <c r="B369" s="15"/>
      <c r="C369" s="4"/>
      <c r="D369" s="4"/>
      <c r="E369" s="4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8" t="str">
        <f t="shared" si="30"/>
        <v/>
      </c>
      <c r="S369" s="8" t="str">
        <f t="shared" si="26"/>
        <v/>
      </c>
      <c r="T369" s="8" t="str">
        <f t="shared" si="27"/>
        <v/>
      </c>
      <c r="U369" s="11" t="str">
        <f t="shared" si="29"/>
        <v/>
      </c>
      <c r="V369" s="11" t="str">
        <f t="shared" si="28"/>
        <v/>
      </c>
    </row>
    <row r="370" spans="1:22" ht="15" customHeight="1">
      <c r="A370" s="4"/>
      <c r="B370" s="15"/>
      <c r="C370" s="4"/>
      <c r="D370" s="4"/>
      <c r="E370" s="4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8" t="str">
        <f t="shared" si="30"/>
        <v/>
      </c>
      <c r="S370" s="8" t="str">
        <f t="shared" si="26"/>
        <v/>
      </c>
      <c r="T370" s="8" t="str">
        <f t="shared" si="27"/>
        <v/>
      </c>
      <c r="U370" s="11" t="str">
        <f t="shared" si="29"/>
        <v/>
      </c>
      <c r="V370" s="11" t="str">
        <f t="shared" si="28"/>
        <v/>
      </c>
    </row>
    <row r="371" spans="1:22" ht="15" customHeight="1">
      <c r="A371" s="4"/>
      <c r="B371" s="15"/>
      <c r="C371" s="4"/>
      <c r="D371" s="4"/>
      <c r="E371" s="4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8" t="str">
        <f t="shared" si="30"/>
        <v/>
      </c>
      <c r="S371" s="8" t="str">
        <f t="shared" si="26"/>
        <v/>
      </c>
      <c r="T371" s="8" t="str">
        <f t="shared" si="27"/>
        <v/>
      </c>
      <c r="U371" s="11" t="str">
        <f t="shared" si="29"/>
        <v/>
      </c>
      <c r="V371" s="11" t="str">
        <f t="shared" si="28"/>
        <v/>
      </c>
    </row>
    <row r="372" spans="1:22" ht="15" customHeight="1">
      <c r="A372" s="4"/>
      <c r="B372" s="15"/>
      <c r="C372" s="4"/>
      <c r="D372" s="4"/>
      <c r="E372" s="4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8" t="str">
        <f t="shared" si="30"/>
        <v/>
      </c>
      <c r="S372" s="8" t="str">
        <f t="shared" si="26"/>
        <v/>
      </c>
      <c r="T372" s="8" t="str">
        <f t="shared" si="27"/>
        <v/>
      </c>
      <c r="U372" s="11" t="str">
        <f t="shared" si="29"/>
        <v/>
      </c>
      <c r="V372" s="11" t="str">
        <f t="shared" si="28"/>
        <v/>
      </c>
    </row>
    <row r="373" spans="1:22" ht="15" customHeight="1">
      <c r="A373" s="4"/>
      <c r="B373" s="15"/>
      <c r="C373" s="4"/>
      <c r="D373" s="4"/>
      <c r="E373" s="4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8" t="str">
        <f t="shared" si="30"/>
        <v/>
      </c>
      <c r="S373" s="8" t="str">
        <f t="shared" si="26"/>
        <v/>
      </c>
      <c r="T373" s="8" t="str">
        <f t="shared" si="27"/>
        <v/>
      </c>
      <c r="U373" s="11" t="str">
        <f t="shared" si="29"/>
        <v/>
      </c>
      <c r="V373" s="11" t="str">
        <f t="shared" si="28"/>
        <v/>
      </c>
    </row>
    <row r="374" spans="1:22" ht="15" customHeight="1">
      <c r="A374" s="4"/>
      <c r="B374" s="15"/>
      <c r="C374" s="4"/>
      <c r="D374" s="4"/>
      <c r="E374" s="4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8" t="str">
        <f t="shared" si="30"/>
        <v/>
      </c>
      <c r="S374" s="8" t="str">
        <f t="shared" si="26"/>
        <v/>
      </c>
      <c r="T374" s="8" t="str">
        <f t="shared" si="27"/>
        <v/>
      </c>
      <c r="U374" s="11" t="str">
        <f t="shared" si="29"/>
        <v/>
      </c>
      <c r="V374" s="11" t="str">
        <f t="shared" si="28"/>
        <v/>
      </c>
    </row>
    <row r="375" spans="1:22" ht="15" customHeight="1">
      <c r="A375" s="4"/>
      <c r="B375" s="15"/>
      <c r="C375" s="4"/>
      <c r="D375" s="4"/>
      <c r="E375" s="4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8" t="str">
        <f t="shared" si="30"/>
        <v/>
      </c>
      <c r="S375" s="8" t="str">
        <f t="shared" si="26"/>
        <v/>
      </c>
      <c r="T375" s="8" t="str">
        <f t="shared" si="27"/>
        <v/>
      </c>
      <c r="U375" s="11" t="str">
        <f t="shared" si="29"/>
        <v/>
      </c>
      <c r="V375" s="11" t="str">
        <f t="shared" si="28"/>
        <v/>
      </c>
    </row>
    <row r="376" spans="1:22" ht="15" customHeight="1">
      <c r="A376" s="4"/>
      <c r="B376" s="15"/>
      <c r="C376" s="4"/>
      <c r="D376" s="4"/>
      <c r="E376" s="4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8" t="str">
        <f t="shared" si="30"/>
        <v/>
      </c>
      <c r="S376" s="8" t="str">
        <f t="shared" si="26"/>
        <v/>
      </c>
      <c r="T376" s="8" t="str">
        <f t="shared" si="27"/>
        <v/>
      </c>
      <c r="U376" s="11" t="str">
        <f t="shared" si="29"/>
        <v/>
      </c>
      <c r="V376" s="11" t="str">
        <f t="shared" si="28"/>
        <v/>
      </c>
    </row>
    <row r="377" spans="1:22" ht="15" customHeight="1">
      <c r="A377" s="4"/>
      <c r="B377" s="15"/>
      <c r="C377" s="4"/>
      <c r="D377" s="4"/>
      <c r="E377" s="4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8" t="str">
        <f t="shared" si="30"/>
        <v/>
      </c>
      <c r="S377" s="8" t="str">
        <f t="shared" si="26"/>
        <v/>
      </c>
      <c r="T377" s="8" t="str">
        <f t="shared" si="27"/>
        <v/>
      </c>
      <c r="U377" s="11" t="str">
        <f t="shared" si="29"/>
        <v/>
      </c>
      <c r="V377" s="11" t="str">
        <f t="shared" si="28"/>
        <v/>
      </c>
    </row>
    <row r="378" spans="1:22" ht="15" customHeight="1">
      <c r="A378" s="4"/>
      <c r="B378" s="15"/>
      <c r="C378" s="4"/>
      <c r="D378" s="4"/>
      <c r="E378" s="4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8" t="str">
        <f t="shared" si="30"/>
        <v/>
      </c>
      <c r="S378" s="8" t="str">
        <f t="shared" si="26"/>
        <v/>
      </c>
      <c r="T378" s="8" t="str">
        <f t="shared" si="27"/>
        <v/>
      </c>
      <c r="U378" s="11" t="str">
        <f t="shared" si="29"/>
        <v/>
      </c>
      <c r="V378" s="11" t="str">
        <f t="shared" si="28"/>
        <v/>
      </c>
    </row>
    <row r="379" spans="1:22" ht="15" customHeight="1">
      <c r="A379" s="4"/>
      <c r="B379" s="15"/>
      <c r="C379" s="4"/>
      <c r="D379" s="4"/>
      <c r="E379" s="4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8" t="str">
        <f t="shared" si="30"/>
        <v/>
      </c>
      <c r="S379" s="8" t="str">
        <f t="shared" si="26"/>
        <v/>
      </c>
      <c r="T379" s="8" t="str">
        <f t="shared" si="27"/>
        <v/>
      </c>
      <c r="U379" s="11" t="str">
        <f t="shared" si="29"/>
        <v/>
      </c>
      <c r="V379" s="11" t="str">
        <f t="shared" si="28"/>
        <v/>
      </c>
    </row>
    <row r="380" spans="1:22" ht="15" customHeight="1">
      <c r="A380" s="4"/>
      <c r="B380" s="15"/>
      <c r="C380" s="4"/>
      <c r="D380" s="4"/>
      <c r="E380" s="4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8" t="str">
        <f t="shared" si="30"/>
        <v/>
      </c>
      <c r="S380" s="8" t="str">
        <f t="shared" si="26"/>
        <v/>
      </c>
      <c r="T380" s="8" t="str">
        <f t="shared" si="27"/>
        <v/>
      </c>
      <c r="U380" s="11" t="str">
        <f t="shared" si="29"/>
        <v/>
      </c>
      <c r="V380" s="11" t="str">
        <f t="shared" si="28"/>
        <v/>
      </c>
    </row>
    <row r="381" spans="1:22" ht="15" customHeight="1">
      <c r="A381" s="4"/>
      <c r="B381" s="15"/>
      <c r="C381" s="4"/>
      <c r="D381" s="4"/>
      <c r="E381" s="4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8" t="str">
        <f t="shared" si="30"/>
        <v/>
      </c>
      <c r="S381" s="8" t="str">
        <f t="shared" si="26"/>
        <v/>
      </c>
      <c r="T381" s="8" t="str">
        <f t="shared" si="27"/>
        <v/>
      </c>
      <c r="U381" s="11" t="str">
        <f t="shared" si="29"/>
        <v/>
      </c>
      <c r="V381" s="11" t="str">
        <f t="shared" si="28"/>
        <v/>
      </c>
    </row>
    <row r="382" spans="1:22" ht="15" customHeight="1">
      <c r="A382" s="4"/>
      <c r="B382" s="15"/>
      <c r="C382" s="4"/>
      <c r="D382" s="4"/>
      <c r="E382" s="4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8" t="str">
        <f t="shared" si="30"/>
        <v/>
      </c>
      <c r="S382" s="8" t="str">
        <f t="shared" si="26"/>
        <v/>
      </c>
      <c r="T382" s="8" t="str">
        <f t="shared" si="27"/>
        <v/>
      </c>
      <c r="U382" s="11" t="str">
        <f t="shared" si="29"/>
        <v/>
      </c>
      <c r="V382" s="11" t="str">
        <f t="shared" si="28"/>
        <v/>
      </c>
    </row>
    <row r="383" spans="1:22" ht="15" customHeight="1">
      <c r="A383" s="4"/>
      <c r="B383" s="15"/>
      <c r="C383" s="4"/>
      <c r="D383" s="4"/>
      <c r="E383" s="4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8" t="str">
        <f t="shared" si="30"/>
        <v/>
      </c>
      <c r="S383" s="8" t="str">
        <f t="shared" si="26"/>
        <v/>
      </c>
      <c r="T383" s="8" t="str">
        <f t="shared" si="27"/>
        <v/>
      </c>
      <c r="U383" s="11" t="str">
        <f t="shared" si="29"/>
        <v/>
      </c>
      <c r="V383" s="11" t="str">
        <f t="shared" si="28"/>
        <v/>
      </c>
    </row>
    <row r="384" spans="1:22" ht="15" customHeight="1">
      <c r="A384" s="4"/>
      <c r="B384" s="15"/>
      <c r="C384" s="4"/>
      <c r="D384" s="4"/>
      <c r="E384" s="4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8" t="str">
        <f t="shared" si="30"/>
        <v/>
      </c>
      <c r="S384" s="8" t="str">
        <f t="shared" si="26"/>
        <v/>
      </c>
      <c r="T384" s="8" t="str">
        <f t="shared" si="27"/>
        <v/>
      </c>
      <c r="U384" s="11" t="str">
        <f t="shared" si="29"/>
        <v/>
      </c>
      <c r="V384" s="11" t="str">
        <f t="shared" si="28"/>
        <v/>
      </c>
    </row>
    <row r="385" spans="1:22" ht="15" customHeight="1">
      <c r="A385" s="4"/>
      <c r="B385" s="15"/>
      <c r="C385" s="4"/>
      <c r="D385" s="4"/>
      <c r="E385" s="4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8" t="str">
        <f t="shared" si="30"/>
        <v/>
      </c>
      <c r="S385" s="8" t="str">
        <f t="shared" si="26"/>
        <v/>
      </c>
      <c r="T385" s="8" t="str">
        <f t="shared" si="27"/>
        <v/>
      </c>
      <c r="U385" s="11" t="str">
        <f t="shared" si="29"/>
        <v/>
      </c>
      <c r="V385" s="11" t="str">
        <f t="shared" si="28"/>
        <v/>
      </c>
    </row>
    <row r="386" spans="1:22" ht="15" customHeight="1">
      <c r="A386" s="4"/>
      <c r="B386" s="15"/>
      <c r="C386" s="4"/>
      <c r="D386" s="4"/>
      <c r="E386" s="4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8" t="str">
        <f t="shared" si="30"/>
        <v/>
      </c>
      <c r="S386" s="8" t="str">
        <f t="shared" si="26"/>
        <v/>
      </c>
      <c r="T386" s="8" t="str">
        <f t="shared" si="27"/>
        <v/>
      </c>
      <c r="U386" s="11" t="str">
        <f t="shared" si="29"/>
        <v/>
      </c>
      <c r="V386" s="11" t="str">
        <f t="shared" si="28"/>
        <v/>
      </c>
    </row>
    <row r="387" spans="1:22" ht="15" customHeight="1">
      <c r="A387" s="4"/>
      <c r="B387" s="15"/>
      <c r="C387" s="4"/>
      <c r="D387" s="4"/>
      <c r="E387" s="4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8" t="str">
        <f t="shared" si="30"/>
        <v/>
      </c>
      <c r="S387" s="8" t="str">
        <f t="shared" si="26"/>
        <v/>
      </c>
      <c r="T387" s="8" t="str">
        <f t="shared" si="27"/>
        <v/>
      </c>
      <c r="U387" s="11" t="str">
        <f t="shared" si="29"/>
        <v/>
      </c>
      <c r="V387" s="11" t="str">
        <f t="shared" si="28"/>
        <v/>
      </c>
    </row>
    <row r="388" spans="1:22" ht="15" customHeight="1">
      <c r="A388" s="4"/>
      <c r="B388" s="15"/>
      <c r="C388" s="4"/>
      <c r="D388" s="4"/>
      <c r="E388" s="4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8" t="str">
        <f t="shared" si="30"/>
        <v/>
      </c>
      <c r="S388" s="8" t="str">
        <f t="shared" ref="S388:S451" si="31">IF(SUM(G388,I388)=0,"",G388+I388)</f>
        <v/>
      </c>
      <c r="T388" s="8" t="str">
        <f t="shared" ref="T388:T451" si="32">IF(SUM(F388,H388,J388)=0,"",F388*2+H388*3+J388)</f>
        <v/>
      </c>
      <c r="U388" s="11" t="str">
        <f t="shared" si="29"/>
        <v/>
      </c>
      <c r="V388" s="11" t="str">
        <f t="shared" ref="V388:V451" si="33">IF(K388=0,"",J388/K388)</f>
        <v/>
      </c>
    </row>
    <row r="389" spans="1:22" ht="15" customHeight="1">
      <c r="A389" s="4"/>
      <c r="B389" s="15"/>
      <c r="C389" s="4"/>
      <c r="D389" s="4"/>
      <c r="E389" s="4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8" t="str">
        <f t="shared" si="30"/>
        <v/>
      </c>
      <c r="S389" s="8" t="str">
        <f t="shared" si="31"/>
        <v/>
      </c>
      <c r="T389" s="8" t="str">
        <f t="shared" si="32"/>
        <v/>
      </c>
      <c r="U389" s="11" t="str">
        <f t="shared" ref="U389:U452" si="34">IF(S389="","",IF(R389="",0,R389/S389))</f>
        <v/>
      </c>
      <c r="V389" s="11" t="str">
        <f t="shared" si="33"/>
        <v/>
      </c>
    </row>
    <row r="390" spans="1:22" ht="15" customHeight="1">
      <c r="A390" s="4"/>
      <c r="B390" s="15"/>
      <c r="C390" s="4"/>
      <c r="D390" s="4"/>
      <c r="E390" s="4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8" t="str">
        <f t="shared" si="30"/>
        <v/>
      </c>
      <c r="S390" s="8" t="str">
        <f t="shared" si="31"/>
        <v/>
      </c>
      <c r="T390" s="8" t="str">
        <f t="shared" si="32"/>
        <v/>
      </c>
      <c r="U390" s="11" t="str">
        <f t="shared" si="34"/>
        <v/>
      </c>
      <c r="V390" s="11" t="str">
        <f t="shared" si="33"/>
        <v/>
      </c>
    </row>
    <row r="391" spans="1:22" ht="15" customHeight="1">
      <c r="A391" s="4"/>
      <c r="B391" s="15"/>
      <c r="C391" s="4"/>
      <c r="D391" s="4"/>
      <c r="E391" s="4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8" t="str">
        <f t="shared" si="30"/>
        <v/>
      </c>
      <c r="S391" s="8" t="str">
        <f t="shared" si="31"/>
        <v/>
      </c>
      <c r="T391" s="8" t="str">
        <f t="shared" si="32"/>
        <v/>
      </c>
      <c r="U391" s="11" t="str">
        <f t="shared" si="34"/>
        <v/>
      </c>
      <c r="V391" s="11" t="str">
        <f t="shared" si="33"/>
        <v/>
      </c>
    </row>
    <row r="392" spans="1:22" ht="15" customHeight="1">
      <c r="A392" s="4"/>
      <c r="B392" s="15"/>
      <c r="C392" s="4"/>
      <c r="D392" s="4"/>
      <c r="E392" s="4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8" t="str">
        <f t="shared" si="30"/>
        <v/>
      </c>
      <c r="S392" s="8" t="str">
        <f t="shared" si="31"/>
        <v/>
      </c>
      <c r="T392" s="8" t="str">
        <f t="shared" si="32"/>
        <v/>
      </c>
      <c r="U392" s="11" t="str">
        <f t="shared" si="34"/>
        <v/>
      </c>
      <c r="V392" s="11" t="str">
        <f t="shared" si="33"/>
        <v/>
      </c>
    </row>
    <row r="393" spans="1:22" ht="15" customHeight="1">
      <c r="A393" s="4"/>
      <c r="B393" s="15"/>
      <c r="C393" s="4"/>
      <c r="D393" s="4"/>
      <c r="E393" s="4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8" t="str">
        <f t="shared" si="30"/>
        <v/>
      </c>
      <c r="S393" s="8" t="str">
        <f t="shared" si="31"/>
        <v/>
      </c>
      <c r="T393" s="8" t="str">
        <f t="shared" si="32"/>
        <v/>
      </c>
      <c r="U393" s="11" t="str">
        <f t="shared" si="34"/>
        <v/>
      </c>
      <c r="V393" s="11" t="str">
        <f t="shared" si="33"/>
        <v/>
      </c>
    </row>
    <row r="394" spans="1:22" ht="15" customHeight="1">
      <c r="A394" s="4"/>
      <c r="B394" s="15"/>
      <c r="C394" s="4"/>
      <c r="D394" s="4"/>
      <c r="E394" s="4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8" t="str">
        <f t="shared" si="30"/>
        <v/>
      </c>
      <c r="S394" s="8" t="str">
        <f t="shared" si="31"/>
        <v/>
      </c>
      <c r="T394" s="8" t="str">
        <f t="shared" si="32"/>
        <v/>
      </c>
      <c r="U394" s="11" t="str">
        <f t="shared" si="34"/>
        <v/>
      </c>
      <c r="V394" s="11" t="str">
        <f t="shared" si="33"/>
        <v/>
      </c>
    </row>
    <row r="395" spans="1:22" ht="15" customHeight="1">
      <c r="A395" s="4"/>
      <c r="B395" s="15"/>
      <c r="C395" s="4"/>
      <c r="D395" s="4"/>
      <c r="E395" s="4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8" t="str">
        <f t="shared" si="30"/>
        <v/>
      </c>
      <c r="S395" s="8" t="str">
        <f t="shared" si="31"/>
        <v/>
      </c>
      <c r="T395" s="8" t="str">
        <f t="shared" si="32"/>
        <v/>
      </c>
      <c r="U395" s="11" t="str">
        <f t="shared" si="34"/>
        <v/>
      </c>
      <c r="V395" s="11" t="str">
        <f t="shared" si="33"/>
        <v/>
      </c>
    </row>
    <row r="396" spans="1:22" ht="15" customHeight="1">
      <c r="A396" s="4"/>
      <c r="B396" s="15"/>
      <c r="C396" s="4"/>
      <c r="D396" s="4"/>
      <c r="E396" s="4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8" t="str">
        <f t="shared" si="30"/>
        <v/>
      </c>
      <c r="S396" s="8" t="str">
        <f t="shared" si="31"/>
        <v/>
      </c>
      <c r="T396" s="8" t="str">
        <f t="shared" si="32"/>
        <v/>
      </c>
      <c r="U396" s="11" t="str">
        <f t="shared" si="34"/>
        <v/>
      </c>
      <c r="V396" s="11" t="str">
        <f t="shared" si="33"/>
        <v/>
      </c>
    </row>
    <row r="397" spans="1:22" ht="15" customHeight="1">
      <c r="A397" s="4"/>
      <c r="B397" s="15"/>
      <c r="C397" s="4"/>
      <c r="D397" s="4"/>
      <c r="E397" s="4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8" t="str">
        <f t="shared" si="30"/>
        <v/>
      </c>
      <c r="S397" s="8" t="str">
        <f t="shared" si="31"/>
        <v/>
      </c>
      <c r="T397" s="8" t="str">
        <f t="shared" si="32"/>
        <v/>
      </c>
      <c r="U397" s="11" t="str">
        <f t="shared" si="34"/>
        <v/>
      </c>
      <c r="V397" s="11" t="str">
        <f t="shared" si="33"/>
        <v/>
      </c>
    </row>
    <row r="398" spans="1:22" ht="15" customHeight="1">
      <c r="A398" s="4"/>
      <c r="B398" s="15"/>
      <c r="C398" s="4"/>
      <c r="D398" s="4"/>
      <c r="E398" s="4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8" t="str">
        <f t="shared" si="30"/>
        <v/>
      </c>
      <c r="S398" s="8" t="str">
        <f t="shared" si="31"/>
        <v/>
      </c>
      <c r="T398" s="8" t="str">
        <f t="shared" si="32"/>
        <v/>
      </c>
      <c r="U398" s="11" t="str">
        <f t="shared" si="34"/>
        <v/>
      </c>
      <c r="V398" s="11" t="str">
        <f t="shared" si="33"/>
        <v/>
      </c>
    </row>
    <row r="399" spans="1:22" ht="15" customHeight="1">
      <c r="A399" s="4"/>
      <c r="B399" s="15"/>
      <c r="C399" s="4"/>
      <c r="D399" s="4"/>
      <c r="E399" s="4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8" t="str">
        <f t="shared" si="30"/>
        <v/>
      </c>
      <c r="S399" s="8" t="str">
        <f t="shared" si="31"/>
        <v/>
      </c>
      <c r="T399" s="8" t="str">
        <f t="shared" si="32"/>
        <v/>
      </c>
      <c r="U399" s="11" t="str">
        <f t="shared" si="34"/>
        <v/>
      </c>
      <c r="V399" s="11" t="str">
        <f t="shared" si="33"/>
        <v/>
      </c>
    </row>
    <row r="400" spans="1:22" ht="15" customHeight="1">
      <c r="A400" s="4"/>
      <c r="B400" s="15"/>
      <c r="C400" s="4"/>
      <c r="D400" s="4"/>
      <c r="E400" s="4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8" t="str">
        <f t="shared" si="30"/>
        <v/>
      </c>
      <c r="S400" s="8" t="str">
        <f t="shared" si="31"/>
        <v/>
      </c>
      <c r="T400" s="8" t="str">
        <f t="shared" si="32"/>
        <v/>
      </c>
      <c r="U400" s="11" t="str">
        <f t="shared" si="34"/>
        <v/>
      </c>
      <c r="V400" s="11" t="str">
        <f t="shared" si="33"/>
        <v/>
      </c>
    </row>
    <row r="401" spans="1:22" ht="15" customHeight="1">
      <c r="A401" s="4"/>
      <c r="B401" s="15"/>
      <c r="C401" s="4"/>
      <c r="D401" s="4"/>
      <c r="E401" s="4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8" t="str">
        <f t="shared" si="30"/>
        <v/>
      </c>
      <c r="S401" s="8" t="str">
        <f t="shared" si="31"/>
        <v/>
      </c>
      <c r="T401" s="8" t="str">
        <f t="shared" si="32"/>
        <v/>
      </c>
      <c r="U401" s="11" t="str">
        <f t="shared" si="34"/>
        <v/>
      </c>
      <c r="V401" s="11" t="str">
        <f t="shared" si="33"/>
        <v/>
      </c>
    </row>
    <row r="402" spans="1:22" ht="15" customHeight="1">
      <c r="A402" s="4"/>
      <c r="B402" s="15"/>
      <c r="C402" s="4"/>
      <c r="D402" s="4"/>
      <c r="E402" s="4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8" t="str">
        <f t="shared" si="30"/>
        <v/>
      </c>
      <c r="S402" s="8" t="str">
        <f t="shared" si="31"/>
        <v/>
      </c>
      <c r="T402" s="8" t="str">
        <f t="shared" si="32"/>
        <v/>
      </c>
      <c r="U402" s="11" t="str">
        <f t="shared" si="34"/>
        <v/>
      </c>
      <c r="V402" s="11" t="str">
        <f t="shared" si="33"/>
        <v/>
      </c>
    </row>
    <row r="403" spans="1:22" ht="15" customHeight="1">
      <c r="A403" s="4"/>
      <c r="B403" s="15"/>
      <c r="C403" s="4"/>
      <c r="D403" s="4"/>
      <c r="E403" s="4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8" t="str">
        <f t="shared" si="30"/>
        <v/>
      </c>
      <c r="S403" s="8" t="str">
        <f t="shared" si="31"/>
        <v/>
      </c>
      <c r="T403" s="8" t="str">
        <f t="shared" si="32"/>
        <v/>
      </c>
      <c r="U403" s="11" t="str">
        <f t="shared" si="34"/>
        <v/>
      </c>
      <c r="V403" s="11" t="str">
        <f t="shared" si="33"/>
        <v/>
      </c>
    </row>
    <row r="404" spans="1:22" ht="15" customHeight="1">
      <c r="A404" s="4"/>
      <c r="B404" s="15"/>
      <c r="C404" s="4"/>
      <c r="D404" s="4"/>
      <c r="E404" s="4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8" t="str">
        <f t="shared" si="30"/>
        <v/>
      </c>
      <c r="S404" s="8" t="str">
        <f t="shared" si="31"/>
        <v/>
      </c>
      <c r="T404" s="8" t="str">
        <f t="shared" si="32"/>
        <v/>
      </c>
      <c r="U404" s="11" t="str">
        <f t="shared" si="34"/>
        <v/>
      </c>
      <c r="V404" s="11" t="str">
        <f t="shared" si="33"/>
        <v/>
      </c>
    </row>
    <row r="405" spans="1:22" ht="15" customHeight="1">
      <c r="A405" s="4"/>
      <c r="B405" s="15"/>
      <c r="C405" s="4"/>
      <c r="D405" s="4"/>
      <c r="E405" s="4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8" t="str">
        <f t="shared" si="30"/>
        <v/>
      </c>
      <c r="S405" s="8" t="str">
        <f t="shared" si="31"/>
        <v/>
      </c>
      <c r="T405" s="8" t="str">
        <f t="shared" si="32"/>
        <v/>
      </c>
      <c r="U405" s="11" t="str">
        <f t="shared" si="34"/>
        <v/>
      </c>
      <c r="V405" s="11" t="str">
        <f t="shared" si="33"/>
        <v/>
      </c>
    </row>
    <row r="406" spans="1:22" ht="15" customHeight="1">
      <c r="A406" s="4"/>
      <c r="B406" s="15"/>
      <c r="C406" s="4"/>
      <c r="D406" s="4"/>
      <c r="E406" s="4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8" t="str">
        <f t="shared" si="30"/>
        <v/>
      </c>
      <c r="S406" s="8" t="str">
        <f t="shared" si="31"/>
        <v/>
      </c>
      <c r="T406" s="8" t="str">
        <f t="shared" si="32"/>
        <v/>
      </c>
      <c r="U406" s="11" t="str">
        <f t="shared" si="34"/>
        <v/>
      </c>
      <c r="V406" s="11" t="str">
        <f t="shared" si="33"/>
        <v/>
      </c>
    </row>
    <row r="407" spans="1:22" ht="15" customHeight="1">
      <c r="A407" s="4"/>
      <c r="B407" s="15"/>
      <c r="C407" s="4"/>
      <c r="D407" s="4"/>
      <c r="E407" s="4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8" t="str">
        <f t="shared" si="30"/>
        <v/>
      </c>
      <c r="S407" s="8" t="str">
        <f t="shared" si="31"/>
        <v/>
      </c>
      <c r="T407" s="8" t="str">
        <f t="shared" si="32"/>
        <v/>
      </c>
      <c r="U407" s="11" t="str">
        <f t="shared" si="34"/>
        <v/>
      </c>
      <c r="V407" s="11" t="str">
        <f t="shared" si="33"/>
        <v/>
      </c>
    </row>
    <row r="408" spans="1:22" ht="15" customHeight="1">
      <c r="A408" s="4"/>
      <c r="B408" s="15"/>
      <c r="C408" s="4"/>
      <c r="D408" s="4"/>
      <c r="E408" s="4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8" t="str">
        <f t="shared" si="30"/>
        <v/>
      </c>
      <c r="S408" s="8" t="str">
        <f t="shared" si="31"/>
        <v/>
      </c>
      <c r="T408" s="8" t="str">
        <f t="shared" si="32"/>
        <v/>
      </c>
      <c r="U408" s="11" t="str">
        <f t="shared" si="34"/>
        <v/>
      </c>
      <c r="V408" s="11" t="str">
        <f t="shared" si="33"/>
        <v/>
      </c>
    </row>
    <row r="409" spans="1:22" ht="15" customHeight="1">
      <c r="A409" s="4"/>
      <c r="B409" s="15"/>
      <c r="C409" s="4"/>
      <c r="D409" s="4"/>
      <c r="E409" s="4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8" t="str">
        <f t="shared" si="30"/>
        <v/>
      </c>
      <c r="S409" s="8" t="str">
        <f t="shared" si="31"/>
        <v/>
      </c>
      <c r="T409" s="8" t="str">
        <f t="shared" si="32"/>
        <v/>
      </c>
      <c r="U409" s="11" t="str">
        <f t="shared" si="34"/>
        <v/>
      </c>
      <c r="V409" s="11" t="str">
        <f t="shared" si="33"/>
        <v/>
      </c>
    </row>
    <row r="410" spans="1:22" ht="15" customHeight="1">
      <c r="A410" s="4"/>
      <c r="B410" s="15"/>
      <c r="C410" s="4"/>
      <c r="D410" s="4"/>
      <c r="E410" s="4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8" t="str">
        <f t="shared" si="30"/>
        <v/>
      </c>
      <c r="S410" s="8" t="str">
        <f t="shared" si="31"/>
        <v/>
      </c>
      <c r="T410" s="8" t="str">
        <f t="shared" si="32"/>
        <v/>
      </c>
      <c r="U410" s="11" t="str">
        <f t="shared" si="34"/>
        <v/>
      </c>
      <c r="V410" s="11" t="str">
        <f t="shared" si="33"/>
        <v/>
      </c>
    </row>
    <row r="411" spans="1:22" ht="15" customHeight="1">
      <c r="A411" s="4"/>
      <c r="B411" s="15"/>
      <c r="C411" s="4"/>
      <c r="D411" s="4"/>
      <c r="E411" s="4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8" t="str">
        <f t="shared" si="30"/>
        <v/>
      </c>
      <c r="S411" s="8" t="str">
        <f t="shared" si="31"/>
        <v/>
      </c>
      <c r="T411" s="8" t="str">
        <f t="shared" si="32"/>
        <v/>
      </c>
      <c r="U411" s="11" t="str">
        <f t="shared" si="34"/>
        <v/>
      </c>
      <c r="V411" s="11" t="str">
        <f t="shared" si="33"/>
        <v/>
      </c>
    </row>
    <row r="412" spans="1:22" ht="15" customHeight="1">
      <c r="A412" s="4"/>
      <c r="B412" s="15"/>
      <c r="C412" s="4"/>
      <c r="D412" s="4"/>
      <c r="E412" s="4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8" t="str">
        <f t="shared" si="30"/>
        <v/>
      </c>
      <c r="S412" s="8" t="str">
        <f t="shared" si="31"/>
        <v/>
      </c>
      <c r="T412" s="8" t="str">
        <f t="shared" si="32"/>
        <v/>
      </c>
      <c r="U412" s="11" t="str">
        <f t="shared" si="34"/>
        <v/>
      </c>
      <c r="V412" s="11" t="str">
        <f t="shared" si="33"/>
        <v/>
      </c>
    </row>
    <row r="413" spans="1:22" ht="15" customHeight="1">
      <c r="A413" s="4"/>
      <c r="B413" s="15"/>
      <c r="C413" s="4"/>
      <c r="D413" s="4"/>
      <c r="E413" s="4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8" t="str">
        <f t="shared" si="30"/>
        <v/>
      </c>
      <c r="S413" s="8" t="str">
        <f t="shared" si="31"/>
        <v/>
      </c>
      <c r="T413" s="8" t="str">
        <f t="shared" si="32"/>
        <v/>
      </c>
      <c r="U413" s="11" t="str">
        <f t="shared" si="34"/>
        <v/>
      </c>
      <c r="V413" s="11" t="str">
        <f t="shared" si="33"/>
        <v/>
      </c>
    </row>
    <row r="414" spans="1:22" ht="15" customHeight="1">
      <c r="A414" s="4"/>
      <c r="B414" s="15"/>
      <c r="C414" s="4"/>
      <c r="D414" s="4"/>
      <c r="E414" s="4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8" t="str">
        <f t="shared" si="30"/>
        <v/>
      </c>
      <c r="S414" s="8" t="str">
        <f t="shared" si="31"/>
        <v/>
      </c>
      <c r="T414" s="8" t="str">
        <f t="shared" si="32"/>
        <v/>
      </c>
      <c r="U414" s="11" t="str">
        <f t="shared" si="34"/>
        <v/>
      </c>
      <c r="V414" s="11" t="str">
        <f t="shared" si="33"/>
        <v/>
      </c>
    </row>
    <row r="415" spans="1:22" ht="15" customHeight="1">
      <c r="A415" s="4"/>
      <c r="B415" s="15"/>
      <c r="C415" s="4"/>
      <c r="D415" s="4"/>
      <c r="E415" s="4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8" t="str">
        <f t="shared" si="30"/>
        <v/>
      </c>
      <c r="S415" s="8" t="str">
        <f t="shared" si="31"/>
        <v/>
      </c>
      <c r="T415" s="8" t="str">
        <f t="shared" si="32"/>
        <v/>
      </c>
      <c r="U415" s="11" t="str">
        <f t="shared" si="34"/>
        <v/>
      </c>
      <c r="V415" s="11" t="str">
        <f t="shared" si="33"/>
        <v/>
      </c>
    </row>
    <row r="416" spans="1:22" ht="15" customHeight="1">
      <c r="A416" s="4"/>
      <c r="B416" s="15"/>
      <c r="C416" s="4"/>
      <c r="D416" s="4"/>
      <c r="E416" s="4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8" t="str">
        <f t="shared" si="30"/>
        <v/>
      </c>
      <c r="S416" s="8" t="str">
        <f t="shared" si="31"/>
        <v/>
      </c>
      <c r="T416" s="8" t="str">
        <f t="shared" si="32"/>
        <v/>
      </c>
      <c r="U416" s="11" t="str">
        <f t="shared" si="34"/>
        <v/>
      </c>
      <c r="V416" s="11" t="str">
        <f t="shared" si="33"/>
        <v/>
      </c>
    </row>
    <row r="417" spans="1:22" ht="15" customHeight="1">
      <c r="A417" s="4"/>
      <c r="B417" s="15"/>
      <c r="C417" s="4"/>
      <c r="D417" s="4"/>
      <c r="E417" s="4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8" t="str">
        <f t="shared" si="30"/>
        <v/>
      </c>
      <c r="S417" s="8" t="str">
        <f t="shared" si="31"/>
        <v/>
      </c>
      <c r="T417" s="8" t="str">
        <f t="shared" si="32"/>
        <v/>
      </c>
      <c r="U417" s="11" t="str">
        <f t="shared" si="34"/>
        <v/>
      </c>
      <c r="V417" s="11" t="str">
        <f t="shared" si="33"/>
        <v/>
      </c>
    </row>
    <row r="418" spans="1:22" ht="15" customHeight="1">
      <c r="A418" s="4"/>
      <c r="B418" s="15"/>
      <c r="C418" s="4"/>
      <c r="D418" s="4"/>
      <c r="E418" s="4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8" t="str">
        <f t="shared" ref="R418:R481" si="35">IF(AND(F418="",H418=""),"",IF(SUM(F418,H418)=0,0,F418+H418))</f>
        <v/>
      </c>
      <c r="S418" s="8" t="str">
        <f t="shared" si="31"/>
        <v/>
      </c>
      <c r="T418" s="8" t="str">
        <f t="shared" si="32"/>
        <v/>
      </c>
      <c r="U418" s="11" t="str">
        <f t="shared" si="34"/>
        <v/>
      </c>
      <c r="V418" s="11" t="str">
        <f t="shared" si="33"/>
        <v/>
      </c>
    </row>
    <row r="419" spans="1:22" ht="15" customHeight="1">
      <c r="A419" s="4"/>
      <c r="B419" s="15"/>
      <c r="C419" s="4"/>
      <c r="D419" s="4"/>
      <c r="E419" s="4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8" t="str">
        <f t="shared" si="35"/>
        <v/>
      </c>
      <c r="S419" s="8" t="str">
        <f t="shared" si="31"/>
        <v/>
      </c>
      <c r="T419" s="8" t="str">
        <f t="shared" si="32"/>
        <v/>
      </c>
      <c r="U419" s="11" t="str">
        <f t="shared" si="34"/>
        <v/>
      </c>
      <c r="V419" s="11" t="str">
        <f t="shared" si="33"/>
        <v/>
      </c>
    </row>
    <row r="420" spans="1:22" ht="15" customHeight="1">
      <c r="A420" s="4"/>
      <c r="B420" s="15"/>
      <c r="C420" s="4"/>
      <c r="D420" s="4"/>
      <c r="E420" s="4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8" t="str">
        <f t="shared" si="35"/>
        <v/>
      </c>
      <c r="S420" s="8" t="str">
        <f t="shared" si="31"/>
        <v/>
      </c>
      <c r="T420" s="8" t="str">
        <f t="shared" si="32"/>
        <v/>
      </c>
      <c r="U420" s="11" t="str">
        <f t="shared" si="34"/>
        <v/>
      </c>
      <c r="V420" s="11" t="str">
        <f t="shared" si="33"/>
        <v/>
      </c>
    </row>
    <row r="421" spans="1:22" ht="15" customHeight="1">
      <c r="A421" s="4"/>
      <c r="B421" s="15"/>
      <c r="C421" s="4"/>
      <c r="D421" s="4"/>
      <c r="E421" s="4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8" t="str">
        <f t="shared" si="35"/>
        <v/>
      </c>
      <c r="S421" s="8" t="str">
        <f t="shared" si="31"/>
        <v/>
      </c>
      <c r="T421" s="8" t="str">
        <f t="shared" si="32"/>
        <v/>
      </c>
      <c r="U421" s="11" t="str">
        <f t="shared" si="34"/>
        <v/>
      </c>
      <c r="V421" s="11" t="str">
        <f t="shared" si="33"/>
        <v/>
      </c>
    </row>
    <row r="422" spans="1:22" ht="15" customHeight="1">
      <c r="A422" s="4"/>
      <c r="B422" s="15"/>
      <c r="C422" s="4"/>
      <c r="D422" s="4"/>
      <c r="E422" s="4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8" t="str">
        <f t="shared" si="35"/>
        <v/>
      </c>
      <c r="S422" s="8" t="str">
        <f t="shared" si="31"/>
        <v/>
      </c>
      <c r="T422" s="8" t="str">
        <f t="shared" si="32"/>
        <v/>
      </c>
      <c r="U422" s="11" t="str">
        <f t="shared" si="34"/>
        <v/>
      </c>
      <c r="V422" s="11" t="str">
        <f t="shared" si="33"/>
        <v/>
      </c>
    </row>
    <row r="423" spans="1:22" ht="15" customHeight="1">
      <c r="A423" s="4"/>
      <c r="B423" s="15"/>
      <c r="C423" s="4"/>
      <c r="D423" s="4"/>
      <c r="E423" s="4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8" t="str">
        <f t="shared" si="35"/>
        <v/>
      </c>
      <c r="S423" s="8" t="str">
        <f t="shared" si="31"/>
        <v/>
      </c>
      <c r="T423" s="8" t="str">
        <f t="shared" si="32"/>
        <v/>
      </c>
      <c r="U423" s="11" t="str">
        <f t="shared" si="34"/>
        <v/>
      </c>
      <c r="V423" s="11" t="str">
        <f t="shared" si="33"/>
        <v/>
      </c>
    </row>
    <row r="424" spans="1:22" ht="15" customHeight="1">
      <c r="A424" s="4"/>
      <c r="B424" s="15"/>
      <c r="C424" s="4"/>
      <c r="D424" s="4"/>
      <c r="E424" s="4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8" t="str">
        <f t="shared" si="35"/>
        <v/>
      </c>
      <c r="S424" s="8" t="str">
        <f t="shared" si="31"/>
        <v/>
      </c>
      <c r="T424" s="8" t="str">
        <f t="shared" si="32"/>
        <v/>
      </c>
      <c r="U424" s="11" t="str">
        <f t="shared" si="34"/>
        <v/>
      </c>
      <c r="V424" s="11" t="str">
        <f t="shared" si="33"/>
        <v/>
      </c>
    </row>
    <row r="425" spans="1:22" ht="15" customHeight="1">
      <c r="A425" s="4"/>
      <c r="B425" s="15"/>
      <c r="C425" s="4"/>
      <c r="D425" s="4"/>
      <c r="E425" s="4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8" t="str">
        <f t="shared" si="35"/>
        <v/>
      </c>
      <c r="S425" s="8" t="str">
        <f t="shared" si="31"/>
        <v/>
      </c>
      <c r="T425" s="8" t="str">
        <f t="shared" si="32"/>
        <v/>
      </c>
      <c r="U425" s="11" t="str">
        <f t="shared" si="34"/>
        <v/>
      </c>
      <c r="V425" s="11" t="str">
        <f t="shared" si="33"/>
        <v/>
      </c>
    </row>
    <row r="426" spans="1:22" ht="15" customHeight="1">
      <c r="A426" s="4"/>
      <c r="B426" s="15"/>
      <c r="C426" s="4"/>
      <c r="D426" s="4"/>
      <c r="E426" s="4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8" t="str">
        <f t="shared" si="35"/>
        <v/>
      </c>
      <c r="S426" s="8" t="str">
        <f t="shared" si="31"/>
        <v/>
      </c>
      <c r="T426" s="8" t="str">
        <f t="shared" si="32"/>
        <v/>
      </c>
      <c r="U426" s="11" t="str">
        <f t="shared" si="34"/>
        <v/>
      </c>
      <c r="V426" s="11" t="str">
        <f t="shared" si="33"/>
        <v/>
      </c>
    </row>
    <row r="427" spans="1:22" ht="15" customHeight="1">
      <c r="A427" s="4"/>
      <c r="B427" s="15"/>
      <c r="C427" s="4"/>
      <c r="D427" s="4"/>
      <c r="E427" s="4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8" t="str">
        <f t="shared" si="35"/>
        <v/>
      </c>
      <c r="S427" s="8" t="str">
        <f t="shared" si="31"/>
        <v/>
      </c>
      <c r="T427" s="8" t="str">
        <f t="shared" si="32"/>
        <v/>
      </c>
      <c r="U427" s="11" t="str">
        <f t="shared" si="34"/>
        <v/>
      </c>
      <c r="V427" s="11" t="str">
        <f t="shared" si="33"/>
        <v/>
      </c>
    </row>
    <row r="428" spans="1:22" ht="15" customHeight="1">
      <c r="A428" s="4"/>
      <c r="B428" s="15"/>
      <c r="C428" s="4"/>
      <c r="D428" s="4"/>
      <c r="E428" s="4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8" t="str">
        <f t="shared" si="35"/>
        <v/>
      </c>
      <c r="S428" s="8" t="str">
        <f t="shared" si="31"/>
        <v/>
      </c>
      <c r="T428" s="8" t="str">
        <f t="shared" si="32"/>
        <v/>
      </c>
      <c r="U428" s="11" t="str">
        <f t="shared" si="34"/>
        <v/>
      </c>
      <c r="V428" s="11" t="str">
        <f t="shared" si="33"/>
        <v/>
      </c>
    </row>
    <row r="429" spans="1:22" ht="15" customHeight="1">
      <c r="A429" s="4"/>
      <c r="B429" s="15"/>
      <c r="C429" s="4"/>
      <c r="D429" s="4"/>
      <c r="E429" s="4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8" t="str">
        <f t="shared" si="35"/>
        <v/>
      </c>
      <c r="S429" s="8" t="str">
        <f t="shared" si="31"/>
        <v/>
      </c>
      <c r="T429" s="8" t="str">
        <f t="shared" si="32"/>
        <v/>
      </c>
      <c r="U429" s="11" t="str">
        <f t="shared" si="34"/>
        <v/>
      </c>
      <c r="V429" s="11" t="str">
        <f t="shared" si="33"/>
        <v/>
      </c>
    </row>
    <row r="430" spans="1:22" ht="15" customHeight="1">
      <c r="A430" s="4"/>
      <c r="B430" s="15"/>
      <c r="C430" s="4"/>
      <c r="D430" s="4"/>
      <c r="E430" s="4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8" t="str">
        <f t="shared" si="35"/>
        <v/>
      </c>
      <c r="S430" s="8" t="str">
        <f t="shared" si="31"/>
        <v/>
      </c>
      <c r="T430" s="8" t="str">
        <f t="shared" si="32"/>
        <v/>
      </c>
      <c r="U430" s="11" t="str">
        <f t="shared" si="34"/>
        <v/>
      </c>
      <c r="V430" s="11" t="str">
        <f t="shared" si="33"/>
        <v/>
      </c>
    </row>
    <row r="431" spans="1:22" ht="15" customHeight="1">
      <c r="A431" s="4"/>
      <c r="B431" s="15"/>
      <c r="C431" s="4"/>
      <c r="D431" s="4"/>
      <c r="E431" s="4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8" t="str">
        <f t="shared" si="35"/>
        <v/>
      </c>
      <c r="S431" s="8" t="str">
        <f t="shared" si="31"/>
        <v/>
      </c>
      <c r="T431" s="8" t="str">
        <f t="shared" si="32"/>
        <v/>
      </c>
      <c r="U431" s="11" t="str">
        <f t="shared" si="34"/>
        <v/>
      </c>
      <c r="V431" s="11" t="str">
        <f t="shared" si="33"/>
        <v/>
      </c>
    </row>
    <row r="432" spans="1:22" ht="15" customHeight="1">
      <c r="A432" s="4"/>
      <c r="B432" s="15"/>
      <c r="C432" s="4"/>
      <c r="D432" s="4"/>
      <c r="E432" s="4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8" t="str">
        <f t="shared" si="35"/>
        <v/>
      </c>
      <c r="S432" s="8" t="str">
        <f t="shared" si="31"/>
        <v/>
      </c>
      <c r="T432" s="8" t="str">
        <f t="shared" si="32"/>
        <v/>
      </c>
      <c r="U432" s="11" t="str">
        <f t="shared" si="34"/>
        <v/>
      </c>
      <c r="V432" s="11" t="str">
        <f t="shared" si="33"/>
        <v/>
      </c>
    </row>
    <row r="433" spans="1:22" ht="15" customHeight="1">
      <c r="A433" s="4"/>
      <c r="B433" s="15"/>
      <c r="C433" s="4"/>
      <c r="D433" s="4"/>
      <c r="E433" s="4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8" t="str">
        <f t="shared" si="35"/>
        <v/>
      </c>
      <c r="S433" s="8" t="str">
        <f t="shared" si="31"/>
        <v/>
      </c>
      <c r="T433" s="8" t="str">
        <f t="shared" si="32"/>
        <v/>
      </c>
      <c r="U433" s="11" t="str">
        <f t="shared" si="34"/>
        <v/>
      </c>
      <c r="V433" s="11" t="str">
        <f t="shared" si="33"/>
        <v/>
      </c>
    </row>
    <row r="434" spans="1:22" ht="15" customHeight="1">
      <c r="A434" s="4"/>
      <c r="B434" s="15"/>
      <c r="C434" s="4"/>
      <c r="D434" s="4"/>
      <c r="E434" s="4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8" t="str">
        <f t="shared" si="35"/>
        <v/>
      </c>
      <c r="S434" s="8" t="str">
        <f t="shared" si="31"/>
        <v/>
      </c>
      <c r="T434" s="8" t="str">
        <f t="shared" si="32"/>
        <v/>
      </c>
      <c r="U434" s="11" t="str">
        <f t="shared" si="34"/>
        <v/>
      </c>
      <c r="V434" s="11" t="str">
        <f t="shared" si="33"/>
        <v/>
      </c>
    </row>
    <row r="435" spans="1:22" ht="15" customHeight="1">
      <c r="A435" s="4"/>
      <c r="B435" s="15"/>
      <c r="C435" s="4"/>
      <c r="D435" s="4"/>
      <c r="E435" s="4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8" t="str">
        <f t="shared" si="35"/>
        <v/>
      </c>
      <c r="S435" s="8" t="str">
        <f t="shared" si="31"/>
        <v/>
      </c>
      <c r="T435" s="8" t="str">
        <f t="shared" si="32"/>
        <v/>
      </c>
      <c r="U435" s="11" t="str">
        <f t="shared" si="34"/>
        <v/>
      </c>
      <c r="V435" s="11" t="str">
        <f t="shared" si="33"/>
        <v/>
      </c>
    </row>
    <row r="436" spans="1:22" ht="15" customHeight="1">
      <c r="A436" s="4"/>
      <c r="B436" s="15"/>
      <c r="C436" s="4"/>
      <c r="D436" s="4"/>
      <c r="E436" s="4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8" t="str">
        <f t="shared" si="35"/>
        <v/>
      </c>
      <c r="S436" s="8" t="str">
        <f t="shared" si="31"/>
        <v/>
      </c>
      <c r="T436" s="8" t="str">
        <f t="shared" si="32"/>
        <v/>
      </c>
      <c r="U436" s="11" t="str">
        <f t="shared" si="34"/>
        <v/>
      </c>
      <c r="V436" s="11" t="str">
        <f t="shared" si="33"/>
        <v/>
      </c>
    </row>
    <row r="437" spans="1:22" ht="15" customHeight="1">
      <c r="A437" s="4"/>
      <c r="B437" s="15"/>
      <c r="C437" s="4"/>
      <c r="D437" s="4"/>
      <c r="E437" s="4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8" t="str">
        <f t="shared" si="35"/>
        <v/>
      </c>
      <c r="S437" s="8" t="str">
        <f t="shared" si="31"/>
        <v/>
      </c>
      <c r="T437" s="8" t="str">
        <f t="shared" si="32"/>
        <v/>
      </c>
      <c r="U437" s="11" t="str">
        <f t="shared" si="34"/>
        <v/>
      </c>
      <c r="V437" s="11" t="str">
        <f t="shared" si="33"/>
        <v/>
      </c>
    </row>
    <row r="438" spans="1:22" ht="15" customHeight="1">
      <c r="A438" s="4"/>
      <c r="B438" s="15"/>
      <c r="C438" s="4"/>
      <c r="D438" s="4"/>
      <c r="E438" s="4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8" t="str">
        <f t="shared" si="35"/>
        <v/>
      </c>
      <c r="S438" s="8" t="str">
        <f t="shared" si="31"/>
        <v/>
      </c>
      <c r="T438" s="8" t="str">
        <f t="shared" si="32"/>
        <v/>
      </c>
      <c r="U438" s="11" t="str">
        <f t="shared" si="34"/>
        <v/>
      </c>
      <c r="V438" s="11" t="str">
        <f t="shared" si="33"/>
        <v/>
      </c>
    </row>
    <row r="439" spans="1:22" ht="15" customHeight="1">
      <c r="A439" s="4"/>
      <c r="B439" s="15"/>
      <c r="C439" s="4"/>
      <c r="D439" s="4"/>
      <c r="E439" s="4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8" t="str">
        <f t="shared" si="35"/>
        <v/>
      </c>
      <c r="S439" s="8" t="str">
        <f t="shared" si="31"/>
        <v/>
      </c>
      <c r="T439" s="8" t="str">
        <f t="shared" si="32"/>
        <v/>
      </c>
      <c r="U439" s="11" t="str">
        <f t="shared" si="34"/>
        <v/>
      </c>
      <c r="V439" s="11" t="str">
        <f t="shared" si="33"/>
        <v/>
      </c>
    </row>
    <row r="440" spans="1:22" ht="15" customHeight="1">
      <c r="A440" s="4"/>
      <c r="B440" s="15"/>
      <c r="C440" s="4"/>
      <c r="D440" s="4"/>
      <c r="E440" s="4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8" t="str">
        <f t="shared" si="35"/>
        <v/>
      </c>
      <c r="S440" s="8" t="str">
        <f t="shared" si="31"/>
        <v/>
      </c>
      <c r="T440" s="8" t="str">
        <f t="shared" si="32"/>
        <v/>
      </c>
      <c r="U440" s="11" t="str">
        <f t="shared" si="34"/>
        <v/>
      </c>
      <c r="V440" s="11" t="str">
        <f t="shared" si="33"/>
        <v/>
      </c>
    </row>
    <row r="441" spans="1:22" ht="15" customHeight="1">
      <c r="A441" s="4"/>
      <c r="B441" s="15"/>
      <c r="C441" s="4"/>
      <c r="D441" s="4"/>
      <c r="E441" s="4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8" t="str">
        <f t="shared" si="35"/>
        <v/>
      </c>
      <c r="S441" s="8" t="str">
        <f t="shared" si="31"/>
        <v/>
      </c>
      <c r="T441" s="8" t="str">
        <f t="shared" si="32"/>
        <v/>
      </c>
      <c r="U441" s="11" t="str">
        <f t="shared" si="34"/>
        <v/>
      </c>
      <c r="V441" s="11" t="str">
        <f t="shared" si="33"/>
        <v/>
      </c>
    </row>
    <row r="442" spans="1:22" ht="15" customHeight="1">
      <c r="A442" s="4"/>
      <c r="B442" s="15"/>
      <c r="C442" s="4"/>
      <c r="D442" s="4"/>
      <c r="E442" s="4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8" t="str">
        <f t="shared" si="35"/>
        <v/>
      </c>
      <c r="S442" s="8" t="str">
        <f t="shared" si="31"/>
        <v/>
      </c>
      <c r="T442" s="8" t="str">
        <f t="shared" si="32"/>
        <v/>
      </c>
      <c r="U442" s="11" t="str">
        <f t="shared" si="34"/>
        <v/>
      </c>
      <c r="V442" s="11" t="str">
        <f t="shared" si="33"/>
        <v/>
      </c>
    </row>
    <row r="443" spans="1:22" ht="15" customHeight="1">
      <c r="A443" s="4"/>
      <c r="B443" s="15"/>
      <c r="C443" s="4"/>
      <c r="D443" s="4"/>
      <c r="E443" s="4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8" t="str">
        <f t="shared" si="35"/>
        <v/>
      </c>
      <c r="S443" s="8" t="str">
        <f t="shared" si="31"/>
        <v/>
      </c>
      <c r="T443" s="8" t="str">
        <f t="shared" si="32"/>
        <v/>
      </c>
      <c r="U443" s="11" t="str">
        <f t="shared" si="34"/>
        <v/>
      </c>
      <c r="V443" s="11" t="str">
        <f t="shared" si="33"/>
        <v/>
      </c>
    </row>
    <row r="444" spans="1:22" ht="15" customHeight="1">
      <c r="A444" s="4"/>
      <c r="B444" s="15"/>
      <c r="C444" s="4"/>
      <c r="D444" s="4"/>
      <c r="E444" s="4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8" t="str">
        <f t="shared" si="35"/>
        <v/>
      </c>
      <c r="S444" s="8" t="str">
        <f t="shared" si="31"/>
        <v/>
      </c>
      <c r="T444" s="8" t="str">
        <f t="shared" si="32"/>
        <v/>
      </c>
      <c r="U444" s="11" t="str">
        <f t="shared" si="34"/>
        <v/>
      </c>
      <c r="V444" s="11" t="str">
        <f t="shared" si="33"/>
        <v/>
      </c>
    </row>
    <row r="445" spans="1:22" ht="15" customHeight="1">
      <c r="A445" s="4"/>
      <c r="B445" s="15"/>
      <c r="C445" s="4"/>
      <c r="D445" s="4"/>
      <c r="E445" s="4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8" t="str">
        <f t="shared" si="35"/>
        <v/>
      </c>
      <c r="S445" s="8" t="str">
        <f t="shared" si="31"/>
        <v/>
      </c>
      <c r="T445" s="8" t="str">
        <f t="shared" si="32"/>
        <v/>
      </c>
      <c r="U445" s="11" t="str">
        <f t="shared" si="34"/>
        <v/>
      </c>
      <c r="V445" s="11" t="str">
        <f t="shared" si="33"/>
        <v/>
      </c>
    </row>
    <row r="446" spans="1:22" ht="15" customHeight="1">
      <c r="A446" s="4"/>
      <c r="B446" s="15"/>
      <c r="C446" s="4"/>
      <c r="D446" s="4"/>
      <c r="E446" s="4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8" t="str">
        <f t="shared" si="35"/>
        <v/>
      </c>
      <c r="S446" s="8" t="str">
        <f t="shared" si="31"/>
        <v/>
      </c>
      <c r="T446" s="8" t="str">
        <f t="shared" si="32"/>
        <v/>
      </c>
      <c r="U446" s="11" t="str">
        <f t="shared" si="34"/>
        <v/>
      </c>
      <c r="V446" s="11" t="str">
        <f t="shared" si="33"/>
        <v/>
      </c>
    </row>
    <row r="447" spans="1:22" ht="15" customHeight="1">
      <c r="A447" s="4"/>
      <c r="B447" s="15"/>
      <c r="C447" s="4"/>
      <c r="D447" s="4"/>
      <c r="E447" s="4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8" t="str">
        <f t="shared" si="35"/>
        <v/>
      </c>
      <c r="S447" s="8" t="str">
        <f t="shared" si="31"/>
        <v/>
      </c>
      <c r="T447" s="8" t="str">
        <f t="shared" si="32"/>
        <v/>
      </c>
      <c r="U447" s="11" t="str">
        <f t="shared" si="34"/>
        <v/>
      </c>
      <c r="V447" s="11" t="str">
        <f t="shared" si="33"/>
        <v/>
      </c>
    </row>
    <row r="448" spans="1:22" ht="15" customHeight="1">
      <c r="A448" s="4"/>
      <c r="B448" s="15"/>
      <c r="C448" s="4"/>
      <c r="D448" s="4"/>
      <c r="E448" s="4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8" t="str">
        <f t="shared" si="35"/>
        <v/>
      </c>
      <c r="S448" s="8" t="str">
        <f t="shared" si="31"/>
        <v/>
      </c>
      <c r="T448" s="8" t="str">
        <f t="shared" si="32"/>
        <v/>
      </c>
      <c r="U448" s="11" t="str">
        <f t="shared" si="34"/>
        <v/>
      </c>
      <c r="V448" s="11" t="str">
        <f t="shared" si="33"/>
        <v/>
      </c>
    </row>
    <row r="449" spans="1:22" ht="15" customHeight="1">
      <c r="A449" s="4"/>
      <c r="B449" s="15"/>
      <c r="C449" s="4"/>
      <c r="D449" s="4"/>
      <c r="E449" s="4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8" t="str">
        <f t="shared" si="35"/>
        <v/>
      </c>
      <c r="S449" s="8" t="str">
        <f t="shared" si="31"/>
        <v/>
      </c>
      <c r="T449" s="8" t="str">
        <f t="shared" si="32"/>
        <v/>
      </c>
      <c r="U449" s="11" t="str">
        <f t="shared" si="34"/>
        <v/>
      </c>
      <c r="V449" s="11" t="str">
        <f t="shared" si="33"/>
        <v/>
      </c>
    </row>
    <row r="450" spans="1:22" ht="15" customHeight="1">
      <c r="A450" s="4"/>
      <c r="B450" s="15"/>
      <c r="C450" s="4"/>
      <c r="D450" s="4"/>
      <c r="E450" s="4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8" t="str">
        <f t="shared" si="35"/>
        <v/>
      </c>
      <c r="S450" s="8" t="str">
        <f t="shared" si="31"/>
        <v/>
      </c>
      <c r="T450" s="8" t="str">
        <f t="shared" si="32"/>
        <v/>
      </c>
      <c r="U450" s="11" t="str">
        <f t="shared" si="34"/>
        <v/>
      </c>
      <c r="V450" s="11" t="str">
        <f t="shared" si="33"/>
        <v/>
      </c>
    </row>
    <row r="451" spans="1:22" ht="15" customHeight="1">
      <c r="A451" s="4"/>
      <c r="B451" s="15"/>
      <c r="C451" s="4"/>
      <c r="D451" s="4"/>
      <c r="E451" s="4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8" t="str">
        <f t="shared" si="35"/>
        <v/>
      </c>
      <c r="S451" s="8" t="str">
        <f t="shared" si="31"/>
        <v/>
      </c>
      <c r="T451" s="8" t="str">
        <f t="shared" si="32"/>
        <v/>
      </c>
      <c r="U451" s="11" t="str">
        <f t="shared" si="34"/>
        <v/>
      </c>
      <c r="V451" s="11" t="str">
        <f t="shared" si="33"/>
        <v/>
      </c>
    </row>
    <row r="452" spans="1:22" ht="15" customHeight="1">
      <c r="A452" s="4"/>
      <c r="B452" s="15"/>
      <c r="C452" s="4"/>
      <c r="D452" s="4"/>
      <c r="E452" s="4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8" t="str">
        <f t="shared" si="35"/>
        <v/>
      </c>
      <c r="S452" s="8" t="str">
        <f t="shared" ref="S452:S515" si="36">IF(SUM(G452,I452)=0,"",G452+I452)</f>
        <v/>
      </c>
      <c r="T452" s="8" t="str">
        <f t="shared" ref="T452:T515" si="37">IF(SUM(F452,H452,J452)=0,"",F452*2+H452*3+J452)</f>
        <v/>
      </c>
      <c r="U452" s="11" t="str">
        <f t="shared" si="34"/>
        <v/>
      </c>
      <c r="V452" s="11" t="str">
        <f t="shared" ref="V452:V515" si="38">IF(K452=0,"",J452/K452)</f>
        <v/>
      </c>
    </row>
    <row r="453" spans="1:22" ht="15" customHeight="1">
      <c r="A453" s="4"/>
      <c r="B453" s="15"/>
      <c r="C453" s="4"/>
      <c r="D453" s="4"/>
      <c r="E453" s="4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8" t="str">
        <f t="shared" si="35"/>
        <v/>
      </c>
      <c r="S453" s="8" t="str">
        <f t="shared" si="36"/>
        <v/>
      </c>
      <c r="T453" s="8" t="str">
        <f t="shared" si="37"/>
        <v/>
      </c>
      <c r="U453" s="11" t="str">
        <f t="shared" ref="U453:U516" si="39">IF(S453="","",IF(R453="",0,R453/S453))</f>
        <v/>
      </c>
      <c r="V453" s="11" t="str">
        <f t="shared" si="38"/>
        <v/>
      </c>
    </row>
    <row r="454" spans="1:22" ht="15" customHeight="1">
      <c r="A454" s="4"/>
      <c r="B454" s="15"/>
      <c r="C454" s="4"/>
      <c r="D454" s="4"/>
      <c r="E454" s="4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8" t="str">
        <f t="shared" si="35"/>
        <v/>
      </c>
      <c r="S454" s="8" t="str">
        <f t="shared" si="36"/>
        <v/>
      </c>
      <c r="T454" s="8" t="str">
        <f t="shared" si="37"/>
        <v/>
      </c>
      <c r="U454" s="11" t="str">
        <f t="shared" si="39"/>
        <v/>
      </c>
      <c r="V454" s="11" t="str">
        <f t="shared" si="38"/>
        <v/>
      </c>
    </row>
    <row r="455" spans="1:22" ht="15" customHeight="1">
      <c r="A455" s="4"/>
      <c r="B455" s="15"/>
      <c r="C455" s="4"/>
      <c r="D455" s="4"/>
      <c r="E455" s="4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8" t="str">
        <f t="shared" si="35"/>
        <v/>
      </c>
      <c r="S455" s="8" t="str">
        <f t="shared" si="36"/>
        <v/>
      </c>
      <c r="T455" s="8" t="str">
        <f t="shared" si="37"/>
        <v/>
      </c>
      <c r="U455" s="11" t="str">
        <f t="shared" si="39"/>
        <v/>
      </c>
      <c r="V455" s="11" t="str">
        <f t="shared" si="38"/>
        <v/>
      </c>
    </row>
    <row r="456" spans="1:22" ht="15" customHeight="1">
      <c r="A456" s="4"/>
      <c r="B456" s="15"/>
      <c r="C456" s="4"/>
      <c r="D456" s="4"/>
      <c r="E456" s="4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8" t="str">
        <f t="shared" si="35"/>
        <v/>
      </c>
      <c r="S456" s="8" t="str">
        <f t="shared" si="36"/>
        <v/>
      </c>
      <c r="T456" s="8" t="str">
        <f t="shared" si="37"/>
        <v/>
      </c>
      <c r="U456" s="11" t="str">
        <f t="shared" si="39"/>
        <v/>
      </c>
      <c r="V456" s="11" t="str">
        <f t="shared" si="38"/>
        <v/>
      </c>
    </row>
    <row r="457" spans="1:22" ht="15" customHeight="1">
      <c r="A457" s="4"/>
      <c r="B457" s="15"/>
      <c r="C457" s="4"/>
      <c r="D457" s="4"/>
      <c r="E457" s="4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8" t="str">
        <f t="shared" si="35"/>
        <v/>
      </c>
      <c r="S457" s="8" t="str">
        <f t="shared" si="36"/>
        <v/>
      </c>
      <c r="T457" s="8" t="str">
        <f t="shared" si="37"/>
        <v/>
      </c>
      <c r="U457" s="11" t="str">
        <f t="shared" si="39"/>
        <v/>
      </c>
      <c r="V457" s="11" t="str">
        <f t="shared" si="38"/>
        <v/>
      </c>
    </row>
    <row r="458" spans="1:22" ht="15" customHeight="1">
      <c r="A458" s="4"/>
      <c r="B458" s="15"/>
      <c r="C458" s="4"/>
      <c r="D458" s="4"/>
      <c r="E458" s="4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8" t="str">
        <f t="shared" si="35"/>
        <v/>
      </c>
      <c r="S458" s="8" t="str">
        <f t="shared" si="36"/>
        <v/>
      </c>
      <c r="T458" s="8" t="str">
        <f t="shared" si="37"/>
        <v/>
      </c>
      <c r="U458" s="11" t="str">
        <f t="shared" si="39"/>
        <v/>
      </c>
      <c r="V458" s="11" t="str">
        <f t="shared" si="38"/>
        <v/>
      </c>
    </row>
    <row r="459" spans="1:22" ht="15" customHeight="1">
      <c r="A459" s="4"/>
      <c r="B459" s="15"/>
      <c r="C459" s="4"/>
      <c r="D459" s="4"/>
      <c r="E459" s="4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8" t="str">
        <f t="shared" si="35"/>
        <v/>
      </c>
      <c r="S459" s="8" t="str">
        <f t="shared" si="36"/>
        <v/>
      </c>
      <c r="T459" s="8" t="str">
        <f t="shared" si="37"/>
        <v/>
      </c>
      <c r="U459" s="11" t="str">
        <f t="shared" si="39"/>
        <v/>
      </c>
      <c r="V459" s="11" t="str">
        <f t="shared" si="38"/>
        <v/>
      </c>
    </row>
    <row r="460" spans="1:22" ht="15" customHeight="1">
      <c r="A460" s="4"/>
      <c r="B460" s="15"/>
      <c r="C460" s="4"/>
      <c r="D460" s="4"/>
      <c r="E460" s="4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8" t="str">
        <f t="shared" si="35"/>
        <v/>
      </c>
      <c r="S460" s="8" t="str">
        <f t="shared" si="36"/>
        <v/>
      </c>
      <c r="T460" s="8" t="str">
        <f t="shared" si="37"/>
        <v/>
      </c>
      <c r="U460" s="11" t="str">
        <f t="shared" si="39"/>
        <v/>
      </c>
      <c r="V460" s="11" t="str">
        <f t="shared" si="38"/>
        <v/>
      </c>
    </row>
    <row r="461" spans="1:22" ht="15" customHeight="1">
      <c r="A461" s="4"/>
      <c r="B461" s="15"/>
      <c r="C461" s="4"/>
      <c r="D461" s="4"/>
      <c r="E461" s="4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8" t="str">
        <f t="shared" si="35"/>
        <v/>
      </c>
      <c r="S461" s="8" t="str">
        <f t="shared" si="36"/>
        <v/>
      </c>
      <c r="T461" s="8" t="str">
        <f t="shared" si="37"/>
        <v/>
      </c>
      <c r="U461" s="11" t="str">
        <f t="shared" si="39"/>
        <v/>
      </c>
      <c r="V461" s="11" t="str">
        <f t="shared" si="38"/>
        <v/>
      </c>
    </row>
    <row r="462" spans="1:22" ht="15" customHeight="1">
      <c r="A462" s="4"/>
      <c r="B462" s="15"/>
      <c r="C462" s="4"/>
      <c r="D462" s="4"/>
      <c r="E462" s="4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8" t="str">
        <f t="shared" si="35"/>
        <v/>
      </c>
      <c r="S462" s="8" t="str">
        <f t="shared" si="36"/>
        <v/>
      </c>
      <c r="T462" s="8" t="str">
        <f t="shared" si="37"/>
        <v/>
      </c>
      <c r="U462" s="11" t="str">
        <f t="shared" si="39"/>
        <v/>
      </c>
      <c r="V462" s="11" t="str">
        <f t="shared" si="38"/>
        <v/>
      </c>
    </row>
    <row r="463" spans="1:22" ht="15" customHeight="1">
      <c r="A463" s="4"/>
      <c r="B463" s="15"/>
      <c r="C463" s="4"/>
      <c r="D463" s="4"/>
      <c r="E463" s="4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8" t="str">
        <f t="shared" si="35"/>
        <v/>
      </c>
      <c r="S463" s="8" t="str">
        <f t="shared" si="36"/>
        <v/>
      </c>
      <c r="T463" s="8" t="str">
        <f t="shared" si="37"/>
        <v/>
      </c>
      <c r="U463" s="11" t="str">
        <f t="shared" si="39"/>
        <v/>
      </c>
      <c r="V463" s="11" t="str">
        <f t="shared" si="38"/>
        <v/>
      </c>
    </row>
    <row r="464" spans="1:22" ht="15" customHeight="1">
      <c r="A464" s="4"/>
      <c r="B464" s="15"/>
      <c r="C464" s="4"/>
      <c r="D464" s="4"/>
      <c r="E464" s="4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8" t="str">
        <f t="shared" si="35"/>
        <v/>
      </c>
      <c r="S464" s="8" t="str">
        <f t="shared" si="36"/>
        <v/>
      </c>
      <c r="T464" s="8" t="str">
        <f t="shared" si="37"/>
        <v/>
      </c>
      <c r="U464" s="11" t="str">
        <f t="shared" si="39"/>
        <v/>
      </c>
      <c r="V464" s="11" t="str">
        <f t="shared" si="38"/>
        <v/>
      </c>
    </row>
    <row r="465" spans="1:22" ht="15" customHeight="1">
      <c r="A465" s="4"/>
      <c r="B465" s="15"/>
      <c r="C465" s="4"/>
      <c r="D465" s="4"/>
      <c r="E465" s="4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8" t="str">
        <f t="shared" si="35"/>
        <v/>
      </c>
      <c r="S465" s="8" t="str">
        <f t="shared" si="36"/>
        <v/>
      </c>
      <c r="T465" s="8" t="str">
        <f t="shared" si="37"/>
        <v/>
      </c>
      <c r="U465" s="11" t="str">
        <f t="shared" si="39"/>
        <v/>
      </c>
      <c r="V465" s="11" t="str">
        <f t="shared" si="38"/>
        <v/>
      </c>
    </row>
    <row r="466" spans="1:22" ht="15" customHeight="1">
      <c r="A466" s="4"/>
      <c r="B466" s="15"/>
      <c r="C466" s="4"/>
      <c r="D466" s="4"/>
      <c r="E466" s="4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8" t="str">
        <f t="shared" si="35"/>
        <v/>
      </c>
      <c r="S466" s="8" t="str">
        <f t="shared" si="36"/>
        <v/>
      </c>
      <c r="T466" s="8" t="str">
        <f t="shared" si="37"/>
        <v/>
      </c>
      <c r="U466" s="11" t="str">
        <f t="shared" si="39"/>
        <v/>
      </c>
      <c r="V466" s="11" t="str">
        <f t="shared" si="38"/>
        <v/>
      </c>
    </row>
    <row r="467" spans="1:22" ht="15" customHeight="1">
      <c r="A467" s="4"/>
      <c r="B467" s="15"/>
      <c r="C467" s="4"/>
      <c r="D467" s="4"/>
      <c r="E467" s="4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8" t="str">
        <f t="shared" si="35"/>
        <v/>
      </c>
      <c r="S467" s="8" t="str">
        <f t="shared" si="36"/>
        <v/>
      </c>
      <c r="T467" s="8" t="str">
        <f t="shared" si="37"/>
        <v/>
      </c>
      <c r="U467" s="11" t="str">
        <f t="shared" si="39"/>
        <v/>
      </c>
      <c r="V467" s="11" t="str">
        <f t="shared" si="38"/>
        <v/>
      </c>
    </row>
    <row r="468" spans="1:22" ht="15" customHeight="1">
      <c r="A468" s="4"/>
      <c r="B468" s="15"/>
      <c r="C468" s="4"/>
      <c r="D468" s="4"/>
      <c r="E468" s="4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8" t="str">
        <f t="shared" si="35"/>
        <v/>
      </c>
      <c r="S468" s="8" t="str">
        <f t="shared" si="36"/>
        <v/>
      </c>
      <c r="T468" s="8" t="str">
        <f t="shared" si="37"/>
        <v/>
      </c>
      <c r="U468" s="11" t="str">
        <f t="shared" si="39"/>
        <v/>
      </c>
      <c r="V468" s="11" t="str">
        <f t="shared" si="38"/>
        <v/>
      </c>
    </row>
    <row r="469" spans="1:22" ht="15" customHeight="1">
      <c r="A469" s="4"/>
      <c r="B469" s="15"/>
      <c r="C469" s="4"/>
      <c r="D469" s="4"/>
      <c r="E469" s="4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8" t="str">
        <f t="shared" si="35"/>
        <v/>
      </c>
      <c r="S469" s="8" t="str">
        <f t="shared" si="36"/>
        <v/>
      </c>
      <c r="T469" s="8" t="str">
        <f t="shared" si="37"/>
        <v/>
      </c>
      <c r="U469" s="11" t="str">
        <f t="shared" si="39"/>
        <v/>
      </c>
      <c r="V469" s="11" t="str">
        <f t="shared" si="38"/>
        <v/>
      </c>
    </row>
    <row r="470" spans="1:22" ht="15" customHeight="1">
      <c r="A470" s="4"/>
      <c r="B470" s="15"/>
      <c r="C470" s="4"/>
      <c r="D470" s="4"/>
      <c r="E470" s="4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8" t="str">
        <f t="shared" si="35"/>
        <v/>
      </c>
      <c r="S470" s="8" t="str">
        <f t="shared" si="36"/>
        <v/>
      </c>
      <c r="T470" s="8" t="str">
        <f t="shared" si="37"/>
        <v/>
      </c>
      <c r="U470" s="11" t="str">
        <f t="shared" si="39"/>
        <v/>
      </c>
      <c r="V470" s="11" t="str">
        <f t="shared" si="38"/>
        <v/>
      </c>
    </row>
    <row r="471" spans="1:22" ht="15" customHeight="1">
      <c r="A471" s="4"/>
      <c r="B471" s="15"/>
      <c r="C471" s="4"/>
      <c r="D471" s="4"/>
      <c r="E471" s="4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8" t="str">
        <f t="shared" si="35"/>
        <v/>
      </c>
      <c r="S471" s="8" t="str">
        <f t="shared" si="36"/>
        <v/>
      </c>
      <c r="T471" s="8" t="str">
        <f t="shared" si="37"/>
        <v/>
      </c>
      <c r="U471" s="11" t="str">
        <f t="shared" si="39"/>
        <v/>
      </c>
      <c r="V471" s="11" t="str">
        <f t="shared" si="38"/>
        <v/>
      </c>
    </row>
    <row r="472" spans="1:22" ht="15" customHeight="1">
      <c r="A472" s="4"/>
      <c r="B472" s="15"/>
      <c r="C472" s="4"/>
      <c r="D472" s="4"/>
      <c r="E472" s="4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8" t="str">
        <f t="shared" si="35"/>
        <v/>
      </c>
      <c r="S472" s="8" t="str">
        <f t="shared" si="36"/>
        <v/>
      </c>
      <c r="T472" s="8" t="str">
        <f t="shared" si="37"/>
        <v/>
      </c>
      <c r="U472" s="11" t="str">
        <f t="shared" si="39"/>
        <v/>
      </c>
      <c r="V472" s="11" t="str">
        <f t="shared" si="38"/>
        <v/>
      </c>
    </row>
    <row r="473" spans="1:22" ht="15" customHeight="1">
      <c r="A473" s="4"/>
      <c r="B473" s="15"/>
      <c r="C473" s="4"/>
      <c r="D473" s="4"/>
      <c r="E473" s="4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8" t="str">
        <f t="shared" si="35"/>
        <v/>
      </c>
      <c r="S473" s="8" t="str">
        <f t="shared" si="36"/>
        <v/>
      </c>
      <c r="T473" s="8" t="str">
        <f t="shared" si="37"/>
        <v/>
      </c>
      <c r="U473" s="11" t="str">
        <f t="shared" si="39"/>
        <v/>
      </c>
      <c r="V473" s="11" t="str">
        <f t="shared" si="38"/>
        <v/>
      </c>
    </row>
    <row r="474" spans="1:22" ht="15" customHeight="1">
      <c r="A474" s="4"/>
      <c r="B474" s="15"/>
      <c r="C474" s="4"/>
      <c r="D474" s="4"/>
      <c r="E474" s="4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8" t="str">
        <f t="shared" si="35"/>
        <v/>
      </c>
      <c r="S474" s="8" t="str">
        <f t="shared" si="36"/>
        <v/>
      </c>
      <c r="T474" s="8" t="str">
        <f t="shared" si="37"/>
        <v/>
      </c>
      <c r="U474" s="11" t="str">
        <f t="shared" si="39"/>
        <v/>
      </c>
      <c r="V474" s="11" t="str">
        <f t="shared" si="38"/>
        <v/>
      </c>
    </row>
    <row r="475" spans="1:22" ht="15" customHeight="1">
      <c r="A475" s="4"/>
      <c r="B475" s="15"/>
      <c r="C475" s="4"/>
      <c r="D475" s="4"/>
      <c r="E475" s="4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8" t="str">
        <f t="shared" si="35"/>
        <v/>
      </c>
      <c r="S475" s="8" t="str">
        <f t="shared" si="36"/>
        <v/>
      </c>
      <c r="T475" s="8" t="str">
        <f t="shared" si="37"/>
        <v/>
      </c>
      <c r="U475" s="11" t="str">
        <f t="shared" si="39"/>
        <v/>
      </c>
      <c r="V475" s="11" t="str">
        <f t="shared" si="38"/>
        <v/>
      </c>
    </row>
    <row r="476" spans="1:22" ht="15" customHeight="1">
      <c r="A476" s="4"/>
      <c r="B476" s="15"/>
      <c r="C476" s="4"/>
      <c r="D476" s="4"/>
      <c r="E476" s="4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8" t="str">
        <f t="shared" si="35"/>
        <v/>
      </c>
      <c r="S476" s="8" t="str">
        <f t="shared" si="36"/>
        <v/>
      </c>
      <c r="T476" s="8" t="str">
        <f t="shared" si="37"/>
        <v/>
      </c>
      <c r="U476" s="11" t="str">
        <f t="shared" si="39"/>
        <v/>
      </c>
      <c r="V476" s="11" t="str">
        <f t="shared" si="38"/>
        <v/>
      </c>
    </row>
    <row r="477" spans="1:22" ht="15" customHeight="1">
      <c r="A477" s="4"/>
      <c r="B477" s="15"/>
      <c r="C477" s="4"/>
      <c r="D477" s="4"/>
      <c r="E477" s="4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8" t="str">
        <f t="shared" si="35"/>
        <v/>
      </c>
      <c r="S477" s="8" t="str">
        <f t="shared" si="36"/>
        <v/>
      </c>
      <c r="T477" s="8" t="str">
        <f t="shared" si="37"/>
        <v/>
      </c>
      <c r="U477" s="11" t="str">
        <f t="shared" si="39"/>
        <v/>
      </c>
      <c r="V477" s="11" t="str">
        <f t="shared" si="38"/>
        <v/>
      </c>
    </row>
    <row r="478" spans="1:22" ht="15" customHeight="1">
      <c r="A478" s="4"/>
      <c r="B478" s="15"/>
      <c r="C478" s="4"/>
      <c r="D478" s="4"/>
      <c r="E478" s="4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8" t="str">
        <f t="shared" si="35"/>
        <v/>
      </c>
      <c r="S478" s="8" t="str">
        <f t="shared" si="36"/>
        <v/>
      </c>
      <c r="T478" s="8" t="str">
        <f t="shared" si="37"/>
        <v/>
      </c>
      <c r="U478" s="11" t="str">
        <f t="shared" si="39"/>
        <v/>
      </c>
      <c r="V478" s="11" t="str">
        <f t="shared" si="38"/>
        <v/>
      </c>
    </row>
    <row r="479" spans="1:22" ht="15" customHeight="1">
      <c r="A479" s="4"/>
      <c r="B479" s="15"/>
      <c r="C479" s="4"/>
      <c r="D479" s="4"/>
      <c r="E479" s="4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8" t="str">
        <f t="shared" si="35"/>
        <v/>
      </c>
      <c r="S479" s="8" t="str">
        <f t="shared" si="36"/>
        <v/>
      </c>
      <c r="T479" s="8" t="str">
        <f t="shared" si="37"/>
        <v/>
      </c>
      <c r="U479" s="11" t="str">
        <f t="shared" si="39"/>
        <v/>
      </c>
      <c r="V479" s="11" t="str">
        <f t="shared" si="38"/>
        <v/>
      </c>
    </row>
    <row r="480" spans="1:22" ht="15" customHeight="1">
      <c r="A480" s="4"/>
      <c r="B480" s="15"/>
      <c r="C480" s="4"/>
      <c r="D480" s="4"/>
      <c r="E480" s="4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8" t="str">
        <f t="shared" si="35"/>
        <v/>
      </c>
      <c r="S480" s="8" t="str">
        <f t="shared" si="36"/>
        <v/>
      </c>
      <c r="T480" s="8" t="str">
        <f t="shared" si="37"/>
        <v/>
      </c>
      <c r="U480" s="11" t="str">
        <f t="shared" si="39"/>
        <v/>
      </c>
      <c r="V480" s="11" t="str">
        <f t="shared" si="38"/>
        <v/>
      </c>
    </row>
    <row r="481" spans="1:22" ht="15" customHeight="1">
      <c r="A481" s="4"/>
      <c r="B481" s="15"/>
      <c r="C481" s="4"/>
      <c r="D481" s="4"/>
      <c r="E481" s="4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8" t="str">
        <f t="shared" si="35"/>
        <v/>
      </c>
      <c r="S481" s="8" t="str">
        <f t="shared" si="36"/>
        <v/>
      </c>
      <c r="T481" s="8" t="str">
        <f t="shared" si="37"/>
        <v/>
      </c>
      <c r="U481" s="11" t="str">
        <f t="shared" si="39"/>
        <v/>
      </c>
      <c r="V481" s="11" t="str">
        <f t="shared" si="38"/>
        <v/>
      </c>
    </row>
    <row r="482" spans="1:22" ht="15" customHeight="1">
      <c r="A482" s="4"/>
      <c r="B482" s="15"/>
      <c r="C482" s="4"/>
      <c r="D482" s="4"/>
      <c r="E482" s="4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8" t="str">
        <f t="shared" ref="R482:R545" si="40">IF(AND(F482="",H482=""),"",IF(SUM(F482,H482)=0,0,F482+H482))</f>
        <v/>
      </c>
      <c r="S482" s="8" t="str">
        <f t="shared" si="36"/>
        <v/>
      </c>
      <c r="T482" s="8" t="str">
        <f t="shared" si="37"/>
        <v/>
      </c>
      <c r="U482" s="11" t="str">
        <f t="shared" si="39"/>
        <v/>
      </c>
      <c r="V482" s="11" t="str">
        <f t="shared" si="38"/>
        <v/>
      </c>
    </row>
    <row r="483" spans="1:22" ht="15" customHeight="1">
      <c r="A483" s="4"/>
      <c r="B483" s="15"/>
      <c r="C483" s="4"/>
      <c r="D483" s="4"/>
      <c r="E483" s="4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8" t="str">
        <f t="shared" si="40"/>
        <v/>
      </c>
      <c r="S483" s="8" t="str">
        <f t="shared" si="36"/>
        <v/>
      </c>
      <c r="T483" s="8" t="str">
        <f t="shared" si="37"/>
        <v/>
      </c>
      <c r="U483" s="11" t="str">
        <f t="shared" si="39"/>
        <v/>
      </c>
      <c r="V483" s="11" t="str">
        <f t="shared" si="38"/>
        <v/>
      </c>
    </row>
    <row r="484" spans="1:22" ht="15" customHeight="1">
      <c r="A484" s="4"/>
      <c r="B484" s="15"/>
      <c r="C484" s="4"/>
      <c r="D484" s="4"/>
      <c r="E484" s="4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8" t="str">
        <f t="shared" si="40"/>
        <v/>
      </c>
      <c r="S484" s="8" t="str">
        <f t="shared" si="36"/>
        <v/>
      </c>
      <c r="T484" s="8" t="str">
        <f t="shared" si="37"/>
        <v/>
      </c>
      <c r="U484" s="11" t="str">
        <f t="shared" si="39"/>
        <v/>
      </c>
      <c r="V484" s="11" t="str">
        <f t="shared" si="38"/>
        <v/>
      </c>
    </row>
    <row r="485" spans="1:22" ht="15" customHeight="1">
      <c r="A485" s="4"/>
      <c r="B485" s="15"/>
      <c r="C485" s="4"/>
      <c r="D485" s="4"/>
      <c r="E485" s="4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8" t="str">
        <f t="shared" si="40"/>
        <v/>
      </c>
      <c r="S485" s="8" t="str">
        <f t="shared" si="36"/>
        <v/>
      </c>
      <c r="T485" s="8" t="str">
        <f t="shared" si="37"/>
        <v/>
      </c>
      <c r="U485" s="11" t="str">
        <f t="shared" si="39"/>
        <v/>
      </c>
      <c r="V485" s="11" t="str">
        <f t="shared" si="38"/>
        <v/>
      </c>
    </row>
    <row r="486" spans="1:22" ht="15" customHeight="1">
      <c r="A486" s="4"/>
      <c r="B486" s="15"/>
      <c r="C486" s="4"/>
      <c r="D486" s="4"/>
      <c r="E486" s="4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8" t="str">
        <f t="shared" si="40"/>
        <v/>
      </c>
      <c r="S486" s="8" t="str">
        <f t="shared" si="36"/>
        <v/>
      </c>
      <c r="T486" s="8" t="str">
        <f t="shared" si="37"/>
        <v/>
      </c>
      <c r="U486" s="11" t="str">
        <f t="shared" si="39"/>
        <v/>
      </c>
      <c r="V486" s="11" t="str">
        <f t="shared" si="38"/>
        <v/>
      </c>
    </row>
    <row r="487" spans="1:22" ht="15" customHeight="1">
      <c r="A487" s="4"/>
      <c r="B487" s="15"/>
      <c r="C487" s="4"/>
      <c r="D487" s="4"/>
      <c r="E487" s="4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8" t="str">
        <f t="shared" si="40"/>
        <v/>
      </c>
      <c r="S487" s="8" t="str">
        <f t="shared" si="36"/>
        <v/>
      </c>
      <c r="T487" s="8" t="str">
        <f t="shared" si="37"/>
        <v/>
      </c>
      <c r="U487" s="11" t="str">
        <f t="shared" si="39"/>
        <v/>
      </c>
      <c r="V487" s="11" t="str">
        <f t="shared" si="38"/>
        <v/>
      </c>
    </row>
    <row r="488" spans="1:22" ht="15" customHeight="1">
      <c r="A488" s="4"/>
      <c r="B488" s="15"/>
      <c r="C488" s="4"/>
      <c r="D488" s="4"/>
      <c r="E488" s="4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8" t="str">
        <f t="shared" si="40"/>
        <v/>
      </c>
      <c r="S488" s="8" t="str">
        <f t="shared" si="36"/>
        <v/>
      </c>
      <c r="T488" s="8" t="str">
        <f t="shared" si="37"/>
        <v/>
      </c>
      <c r="U488" s="11" t="str">
        <f t="shared" si="39"/>
        <v/>
      </c>
      <c r="V488" s="11" t="str">
        <f t="shared" si="38"/>
        <v/>
      </c>
    </row>
    <row r="489" spans="1:22" ht="15" customHeight="1">
      <c r="A489" s="4"/>
      <c r="B489" s="15"/>
      <c r="C489" s="4"/>
      <c r="D489" s="4"/>
      <c r="E489" s="4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8" t="str">
        <f t="shared" si="40"/>
        <v/>
      </c>
      <c r="S489" s="8" t="str">
        <f t="shared" si="36"/>
        <v/>
      </c>
      <c r="T489" s="8" t="str">
        <f t="shared" si="37"/>
        <v/>
      </c>
      <c r="U489" s="11" t="str">
        <f t="shared" si="39"/>
        <v/>
      </c>
      <c r="V489" s="11" t="str">
        <f t="shared" si="38"/>
        <v/>
      </c>
    </row>
    <row r="490" spans="1:22" ht="15" customHeight="1">
      <c r="A490" s="4"/>
      <c r="B490" s="15"/>
      <c r="C490" s="4"/>
      <c r="D490" s="4"/>
      <c r="E490" s="4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8" t="str">
        <f t="shared" si="40"/>
        <v/>
      </c>
      <c r="S490" s="8" t="str">
        <f t="shared" si="36"/>
        <v/>
      </c>
      <c r="T490" s="8" t="str">
        <f t="shared" si="37"/>
        <v/>
      </c>
      <c r="U490" s="11" t="str">
        <f t="shared" si="39"/>
        <v/>
      </c>
      <c r="V490" s="11" t="str">
        <f t="shared" si="38"/>
        <v/>
      </c>
    </row>
    <row r="491" spans="1:22" ht="15" customHeight="1">
      <c r="A491" s="4"/>
      <c r="B491" s="15"/>
      <c r="C491" s="4"/>
      <c r="D491" s="4"/>
      <c r="E491" s="4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8" t="str">
        <f t="shared" si="40"/>
        <v/>
      </c>
      <c r="S491" s="8" t="str">
        <f t="shared" si="36"/>
        <v/>
      </c>
      <c r="T491" s="8" t="str">
        <f t="shared" si="37"/>
        <v/>
      </c>
      <c r="U491" s="11" t="str">
        <f t="shared" si="39"/>
        <v/>
      </c>
      <c r="V491" s="11" t="str">
        <f t="shared" si="38"/>
        <v/>
      </c>
    </row>
    <row r="492" spans="1:22" ht="15" customHeight="1">
      <c r="A492" s="4"/>
      <c r="B492" s="15"/>
      <c r="C492" s="4"/>
      <c r="D492" s="4"/>
      <c r="E492" s="4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8" t="str">
        <f t="shared" si="40"/>
        <v/>
      </c>
      <c r="S492" s="8" t="str">
        <f t="shared" si="36"/>
        <v/>
      </c>
      <c r="T492" s="8" t="str">
        <f t="shared" si="37"/>
        <v/>
      </c>
      <c r="U492" s="11" t="str">
        <f t="shared" si="39"/>
        <v/>
      </c>
      <c r="V492" s="11" t="str">
        <f t="shared" si="38"/>
        <v/>
      </c>
    </row>
    <row r="493" spans="1:22" ht="15" customHeight="1">
      <c r="A493" s="4"/>
      <c r="B493" s="15"/>
      <c r="C493" s="4"/>
      <c r="D493" s="4"/>
      <c r="E493" s="4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8" t="str">
        <f t="shared" si="40"/>
        <v/>
      </c>
      <c r="S493" s="8" t="str">
        <f t="shared" si="36"/>
        <v/>
      </c>
      <c r="T493" s="8" t="str">
        <f t="shared" si="37"/>
        <v/>
      </c>
      <c r="U493" s="11" t="str">
        <f t="shared" si="39"/>
        <v/>
      </c>
      <c r="V493" s="11" t="str">
        <f t="shared" si="38"/>
        <v/>
      </c>
    </row>
    <row r="494" spans="1:22" ht="15" customHeight="1">
      <c r="A494" s="4"/>
      <c r="B494" s="15"/>
      <c r="C494" s="4"/>
      <c r="D494" s="4"/>
      <c r="E494" s="4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8" t="str">
        <f t="shared" si="40"/>
        <v/>
      </c>
      <c r="S494" s="8" t="str">
        <f t="shared" si="36"/>
        <v/>
      </c>
      <c r="T494" s="8" t="str">
        <f t="shared" si="37"/>
        <v/>
      </c>
      <c r="U494" s="11" t="str">
        <f t="shared" si="39"/>
        <v/>
      </c>
      <c r="V494" s="11" t="str">
        <f t="shared" si="38"/>
        <v/>
      </c>
    </row>
    <row r="495" spans="1:22" ht="15" customHeight="1">
      <c r="A495" s="4"/>
      <c r="B495" s="15"/>
      <c r="C495" s="4"/>
      <c r="D495" s="4"/>
      <c r="E495" s="4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8" t="str">
        <f t="shared" si="40"/>
        <v/>
      </c>
      <c r="S495" s="8" t="str">
        <f t="shared" si="36"/>
        <v/>
      </c>
      <c r="T495" s="8" t="str">
        <f t="shared" si="37"/>
        <v/>
      </c>
      <c r="U495" s="11" t="str">
        <f t="shared" si="39"/>
        <v/>
      </c>
      <c r="V495" s="11" t="str">
        <f t="shared" si="38"/>
        <v/>
      </c>
    </row>
    <row r="496" spans="1:22" ht="15" customHeight="1">
      <c r="A496" s="4"/>
      <c r="B496" s="15"/>
      <c r="C496" s="4"/>
      <c r="D496" s="4"/>
      <c r="E496" s="4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8" t="str">
        <f t="shared" si="40"/>
        <v/>
      </c>
      <c r="S496" s="8" t="str">
        <f t="shared" si="36"/>
        <v/>
      </c>
      <c r="T496" s="8" t="str">
        <f t="shared" si="37"/>
        <v/>
      </c>
      <c r="U496" s="11" t="str">
        <f t="shared" si="39"/>
        <v/>
      </c>
      <c r="V496" s="11" t="str">
        <f t="shared" si="38"/>
        <v/>
      </c>
    </row>
    <row r="497" spans="1:22" ht="15" customHeight="1">
      <c r="A497" s="4"/>
      <c r="B497" s="15"/>
      <c r="C497" s="4"/>
      <c r="D497" s="4"/>
      <c r="E497" s="4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8" t="str">
        <f t="shared" si="40"/>
        <v/>
      </c>
      <c r="S497" s="8" t="str">
        <f t="shared" si="36"/>
        <v/>
      </c>
      <c r="T497" s="8" t="str">
        <f t="shared" si="37"/>
        <v/>
      </c>
      <c r="U497" s="11" t="str">
        <f t="shared" si="39"/>
        <v/>
      </c>
      <c r="V497" s="11" t="str">
        <f t="shared" si="38"/>
        <v/>
      </c>
    </row>
    <row r="498" spans="1:22" ht="15" customHeight="1">
      <c r="A498" s="4"/>
      <c r="B498" s="15"/>
      <c r="C498" s="4"/>
      <c r="D498" s="4"/>
      <c r="E498" s="4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8" t="str">
        <f t="shared" si="40"/>
        <v/>
      </c>
      <c r="S498" s="8" t="str">
        <f t="shared" si="36"/>
        <v/>
      </c>
      <c r="T498" s="8" t="str">
        <f t="shared" si="37"/>
        <v/>
      </c>
      <c r="U498" s="11" t="str">
        <f t="shared" si="39"/>
        <v/>
      </c>
      <c r="V498" s="11" t="str">
        <f t="shared" si="38"/>
        <v/>
      </c>
    </row>
    <row r="499" spans="1:22" ht="15" customHeight="1">
      <c r="A499" s="4"/>
      <c r="B499" s="15"/>
      <c r="C499" s="4"/>
      <c r="D499" s="4"/>
      <c r="E499" s="4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8" t="str">
        <f t="shared" si="40"/>
        <v/>
      </c>
      <c r="S499" s="8" t="str">
        <f t="shared" si="36"/>
        <v/>
      </c>
      <c r="T499" s="8" t="str">
        <f t="shared" si="37"/>
        <v/>
      </c>
      <c r="U499" s="11" t="str">
        <f t="shared" si="39"/>
        <v/>
      </c>
      <c r="V499" s="11" t="str">
        <f t="shared" si="38"/>
        <v/>
      </c>
    </row>
    <row r="500" spans="1:22" ht="15" customHeight="1">
      <c r="A500" s="4"/>
      <c r="B500" s="15"/>
      <c r="C500" s="4"/>
      <c r="D500" s="4"/>
      <c r="E500" s="4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8" t="str">
        <f t="shared" si="40"/>
        <v/>
      </c>
      <c r="S500" s="8" t="str">
        <f t="shared" si="36"/>
        <v/>
      </c>
      <c r="T500" s="8" t="str">
        <f t="shared" si="37"/>
        <v/>
      </c>
      <c r="U500" s="11" t="str">
        <f t="shared" si="39"/>
        <v/>
      </c>
      <c r="V500" s="11" t="str">
        <f t="shared" si="38"/>
        <v/>
      </c>
    </row>
    <row r="501" spans="1:22" ht="15" customHeight="1">
      <c r="A501" s="4"/>
      <c r="B501" s="15"/>
      <c r="C501" s="4"/>
      <c r="D501" s="4"/>
      <c r="E501" s="4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8" t="str">
        <f t="shared" si="40"/>
        <v/>
      </c>
      <c r="S501" s="8" t="str">
        <f t="shared" si="36"/>
        <v/>
      </c>
      <c r="T501" s="8" t="str">
        <f t="shared" si="37"/>
        <v/>
      </c>
      <c r="U501" s="11" t="str">
        <f t="shared" si="39"/>
        <v/>
      </c>
      <c r="V501" s="11" t="str">
        <f t="shared" si="38"/>
        <v/>
      </c>
    </row>
    <row r="502" spans="1:22" ht="15" customHeight="1">
      <c r="A502" s="4"/>
      <c r="B502" s="15"/>
      <c r="C502" s="4"/>
      <c r="D502" s="4"/>
      <c r="E502" s="4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8" t="str">
        <f t="shared" si="40"/>
        <v/>
      </c>
      <c r="S502" s="8" t="str">
        <f t="shared" si="36"/>
        <v/>
      </c>
      <c r="T502" s="8" t="str">
        <f t="shared" si="37"/>
        <v/>
      </c>
      <c r="U502" s="11" t="str">
        <f t="shared" si="39"/>
        <v/>
      </c>
      <c r="V502" s="11" t="str">
        <f t="shared" si="38"/>
        <v/>
      </c>
    </row>
    <row r="503" spans="1:22" ht="15" customHeight="1">
      <c r="A503" s="4"/>
      <c r="B503" s="15"/>
      <c r="C503" s="4"/>
      <c r="D503" s="4"/>
      <c r="E503" s="4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8" t="str">
        <f t="shared" si="40"/>
        <v/>
      </c>
      <c r="S503" s="8" t="str">
        <f t="shared" si="36"/>
        <v/>
      </c>
      <c r="T503" s="8" t="str">
        <f t="shared" si="37"/>
        <v/>
      </c>
      <c r="U503" s="11" t="str">
        <f t="shared" si="39"/>
        <v/>
      </c>
      <c r="V503" s="11" t="str">
        <f t="shared" si="38"/>
        <v/>
      </c>
    </row>
    <row r="504" spans="1:22" ht="15" customHeight="1">
      <c r="A504" s="4"/>
      <c r="B504" s="15"/>
      <c r="C504" s="4"/>
      <c r="D504" s="4"/>
      <c r="E504" s="4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8" t="str">
        <f t="shared" si="40"/>
        <v/>
      </c>
      <c r="S504" s="8" t="str">
        <f t="shared" si="36"/>
        <v/>
      </c>
      <c r="T504" s="8" t="str">
        <f t="shared" si="37"/>
        <v/>
      </c>
      <c r="U504" s="11" t="str">
        <f t="shared" si="39"/>
        <v/>
      </c>
      <c r="V504" s="11" t="str">
        <f t="shared" si="38"/>
        <v/>
      </c>
    </row>
    <row r="505" spans="1:22" ht="15" customHeight="1">
      <c r="A505" s="4"/>
      <c r="B505" s="15"/>
      <c r="C505" s="4"/>
      <c r="D505" s="4"/>
      <c r="E505" s="4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8" t="str">
        <f t="shared" si="40"/>
        <v/>
      </c>
      <c r="S505" s="8" t="str">
        <f t="shared" si="36"/>
        <v/>
      </c>
      <c r="T505" s="8" t="str">
        <f t="shared" si="37"/>
        <v/>
      </c>
      <c r="U505" s="11" t="str">
        <f t="shared" si="39"/>
        <v/>
      </c>
      <c r="V505" s="11" t="str">
        <f t="shared" si="38"/>
        <v/>
      </c>
    </row>
    <row r="506" spans="1:22" ht="15" customHeight="1">
      <c r="A506" s="4"/>
      <c r="B506" s="15"/>
      <c r="C506" s="4"/>
      <c r="D506" s="4"/>
      <c r="E506" s="4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8" t="str">
        <f t="shared" si="40"/>
        <v/>
      </c>
      <c r="S506" s="8" t="str">
        <f t="shared" si="36"/>
        <v/>
      </c>
      <c r="T506" s="8" t="str">
        <f t="shared" si="37"/>
        <v/>
      </c>
      <c r="U506" s="11" t="str">
        <f t="shared" si="39"/>
        <v/>
      </c>
      <c r="V506" s="11" t="str">
        <f t="shared" si="38"/>
        <v/>
      </c>
    </row>
    <row r="507" spans="1:22" ht="15" customHeight="1">
      <c r="A507" s="4"/>
      <c r="B507" s="15"/>
      <c r="C507" s="4"/>
      <c r="D507" s="4"/>
      <c r="E507" s="4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8" t="str">
        <f t="shared" si="40"/>
        <v/>
      </c>
      <c r="S507" s="8" t="str">
        <f t="shared" si="36"/>
        <v/>
      </c>
      <c r="T507" s="8" t="str">
        <f t="shared" si="37"/>
        <v/>
      </c>
      <c r="U507" s="11" t="str">
        <f t="shared" si="39"/>
        <v/>
      </c>
      <c r="V507" s="11" t="str">
        <f t="shared" si="38"/>
        <v/>
      </c>
    </row>
    <row r="508" spans="1:22" ht="15" customHeight="1">
      <c r="A508" s="4"/>
      <c r="B508" s="15"/>
      <c r="C508" s="4"/>
      <c r="D508" s="4"/>
      <c r="E508" s="4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8" t="str">
        <f t="shared" si="40"/>
        <v/>
      </c>
      <c r="S508" s="8" t="str">
        <f t="shared" si="36"/>
        <v/>
      </c>
      <c r="T508" s="8" t="str">
        <f t="shared" si="37"/>
        <v/>
      </c>
      <c r="U508" s="11" t="str">
        <f t="shared" si="39"/>
        <v/>
      </c>
      <c r="V508" s="11" t="str">
        <f t="shared" si="38"/>
        <v/>
      </c>
    </row>
    <row r="509" spans="1:22" ht="15" customHeight="1">
      <c r="A509" s="4"/>
      <c r="B509" s="15"/>
      <c r="C509" s="4"/>
      <c r="D509" s="4"/>
      <c r="E509" s="4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8" t="str">
        <f t="shared" si="40"/>
        <v/>
      </c>
      <c r="S509" s="8" t="str">
        <f t="shared" si="36"/>
        <v/>
      </c>
      <c r="T509" s="8" t="str">
        <f t="shared" si="37"/>
        <v/>
      </c>
      <c r="U509" s="11" t="str">
        <f t="shared" si="39"/>
        <v/>
      </c>
      <c r="V509" s="11" t="str">
        <f t="shared" si="38"/>
        <v/>
      </c>
    </row>
    <row r="510" spans="1:22" ht="15" customHeight="1">
      <c r="A510" s="4"/>
      <c r="B510" s="15"/>
      <c r="C510" s="4"/>
      <c r="D510" s="4"/>
      <c r="E510" s="4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8" t="str">
        <f t="shared" si="40"/>
        <v/>
      </c>
      <c r="S510" s="8" t="str">
        <f t="shared" si="36"/>
        <v/>
      </c>
      <c r="T510" s="8" t="str">
        <f t="shared" si="37"/>
        <v/>
      </c>
      <c r="U510" s="11" t="str">
        <f t="shared" si="39"/>
        <v/>
      </c>
      <c r="V510" s="11" t="str">
        <f t="shared" si="38"/>
        <v/>
      </c>
    </row>
    <row r="511" spans="1:22" ht="15" customHeight="1">
      <c r="A511" s="4"/>
      <c r="B511" s="15"/>
      <c r="C511" s="4"/>
      <c r="D511" s="4"/>
      <c r="E511" s="4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8" t="str">
        <f t="shared" si="40"/>
        <v/>
      </c>
      <c r="S511" s="8" t="str">
        <f t="shared" si="36"/>
        <v/>
      </c>
      <c r="T511" s="8" t="str">
        <f t="shared" si="37"/>
        <v/>
      </c>
      <c r="U511" s="11" t="str">
        <f t="shared" si="39"/>
        <v/>
      </c>
      <c r="V511" s="11" t="str">
        <f t="shared" si="38"/>
        <v/>
      </c>
    </row>
    <row r="512" spans="1:22" ht="15" customHeight="1">
      <c r="A512" s="4"/>
      <c r="B512" s="15"/>
      <c r="C512" s="4"/>
      <c r="D512" s="4"/>
      <c r="E512" s="4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8" t="str">
        <f t="shared" si="40"/>
        <v/>
      </c>
      <c r="S512" s="8" t="str">
        <f t="shared" si="36"/>
        <v/>
      </c>
      <c r="T512" s="8" t="str">
        <f t="shared" si="37"/>
        <v/>
      </c>
      <c r="U512" s="11" t="str">
        <f t="shared" si="39"/>
        <v/>
      </c>
      <c r="V512" s="11" t="str">
        <f t="shared" si="38"/>
        <v/>
      </c>
    </row>
    <row r="513" spans="1:22" ht="15" customHeight="1">
      <c r="A513" s="4"/>
      <c r="B513" s="15"/>
      <c r="C513" s="4"/>
      <c r="D513" s="4"/>
      <c r="E513" s="4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8" t="str">
        <f t="shared" si="40"/>
        <v/>
      </c>
      <c r="S513" s="8" t="str">
        <f t="shared" si="36"/>
        <v/>
      </c>
      <c r="T513" s="8" t="str">
        <f t="shared" si="37"/>
        <v/>
      </c>
      <c r="U513" s="11" t="str">
        <f t="shared" si="39"/>
        <v/>
      </c>
      <c r="V513" s="11" t="str">
        <f t="shared" si="38"/>
        <v/>
      </c>
    </row>
    <row r="514" spans="1:22" ht="15" customHeight="1">
      <c r="A514" s="4"/>
      <c r="B514" s="15"/>
      <c r="C514" s="4"/>
      <c r="D514" s="4"/>
      <c r="E514" s="4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8" t="str">
        <f t="shared" si="40"/>
        <v/>
      </c>
      <c r="S514" s="8" t="str">
        <f t="shared" si="36"/>
        <v/>
      </c>
      <c r="T514" s="8" t="str">
        <f t="shared" si="37"/>
        <v/>
      </c>
      <c r="U514" s="11" t="str">
        <f t="shared" si="39"/>
        <v/>
      </c>
      <c r="V514" s="11" t="str">
        <f t="shared" si="38"/>
        <v/>
      </c>
    </row>
    <row r="515" spans="1:22" ht="15" customHeight="1">
      <c r="A515" s="4"/>
      <c r="B515" s="15"/>
      <c r="C515" s="4"/>
      <c r="D515" s="4"/>
      <c r="E515" s="4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8" t="str">
        <f t="shared" si="40"/>
        <v/>
      </c>
      <c r="S515" s="8" t="str">
        <f t="shared" si="36"/>
        <v/>
      </c>
      <c r="T515" s="8" t="str">
        <f t="shared" si="37"/>
        <v/>
      </c>
      <c r="U515" s="11" t="str">
        <f t="shared" si="39"/>
        <v/>
      </c>
      <c r="V515" s="11" t="str">
        <f t="shared" si="38"/>
        <v/>
      </c>
    </row>
    <row r="516" spans="1:22" ht="15" customHeight="1">
      <c r="A516" s="4"/>
      <c r="B516" s="15"/>
      <c r="C516" s="4"/>
      <c r="D516" s="4"/>
      <c r="E516" s="4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8" t="str">
        <f t="shared" si="40"/>
        <v/>
      </c>
      <c r="S516" s="8" t="str">
        <f t="shared" ref="S516:S579" si="41">IF(SUM(G516,I516)=0,"",G516+I516)</f>
        <v/>
      </c>
      <c r="T516" s="8" t="str">
        <f t="shared" ref="T516:T579" si="42">IF(SUM(F516,H516,J516)=0,"",F516*2+H516*3+J516)</f>
        <v/>
      </c>
      <c r="U516" s="11" t="str">
        <f t="shared" si="39"/>
        <v/>
      </c>
      <c r="V516" s="11" t="str">
        <f t="shared" ref="V516:V579" si="43">IF(K516=0,"",J516/K516)</f>
        <v/>
      </c>
    </row>
    <row r="517" spans="1:22" ht="15" customHeight="1">
      <c r="A517" s="4"/>
      <c r="B517" s="15"/>
      <c r="C517" s="4"/>
      <c r="D517" s="4"/>
      <c r="E517" s="4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8" t="str">
        <f t="shared" si="40"/>
        <v/>
      </c>
      <c r="S517" s="8" t="str">
        <f t="shared" si="41"/>
        <v/>
      </c>
      <c r="T517" s="8" t="str">
        <f t="shared" si="42"/>
        <v/>
      </c>
      <c r="U517" s="11" t="str">
        <f t="shared" ref="U517:U580" si="44">IF(S517="","",IF(R517="",0,R517/S517))</f>
        <v/>
      </c>
      <c r="V517" s="11" t="str">
        <f t="shared" si="43"/>
        <v/>
      </c>
    </row>
    <row r="518" spans="1:22" ht="15" customHeight="1">
      <c r="A518" s="4"/>
      <c r="B518" s="15"/>
      <c r="C518" s="4"/>
      <c r="D518" s="4"/>
      <c r="E518" s="4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8" t="str">
        <f t="shared" si="40"/>
        <v/>
      </c>
      <c r="S518" s="8" t="str">
        <f t="shared" si="41"/>
        <v/>
      </c>
      <c r="T518" s="8" t="str">
        <f t="shared" si="42"/>
        <v/>
      </c>
      <c r="U518" s="11" t="str">
        <f t="shared" si="44"/>
        <v/>
      </c>
      <c r="V518" s="11" t="str">
        <f t="shared" si="43"/>
        <v/>
      </c>
    </row>
    <row r="519" spans="1:22" ht="15" customHeight="1">
      <c r="A519" s="4"/>
      <c r="B519" s="15"/>
      <c r="C519" s="4"/>
      <c r="D519" s="4"/>
      <c r="E519" s="4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8" t="str">
        <f t="shared" si="40"/>
        <v/>
      </c>
      <c r="S519" s="8" t="str">
        <f t="shared" si="41"/>
        <v/>
      </c>
      <c r="T519" s="8" t="str">
        <f t="shared" si="42"/>
        <v/>
      </c>
      <c r="U519" s="11" t="str">
        <f t="shared" si="44"/>
        <v/>
      </c>
      <c r="V519" s="11" t="str">
        <f t="shared" si="43"/>
        <v/>
      </c>
    </row>
    <row r="520" spans="1:22" ht="15" customHeight="1">
      <c r="A520" s="4"/>
      <c r="B520" s="15"/>
      <c r="C520" s="4"/>
      <c r="D520" s="4"/>
      <c r="E520" s="4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8" t="str">
        <f t="shared" si="40"/>
        <v/>
      </c>
      <c r="S520" s="8" t="str">
        <f t="shared" si="41"/>
        <v/>
      </c>
      <c r="T520" s="8" t="str">
        <f t="shared" si="42"/>
        <v/>
      </c>
      <c r="U520" s="11" t="str">
        <f t="shared" si="44"/>
        <v/>
      </c>
      <c r="V520" s="11" t="str">
        <f t="shared" si="43"/>
        <v/>
      </c>
    </row>
    <row r="521" spans="1:22" ht="15" customHeight="1">
      <c r="A521" s="4"/>
      <c r="B521" s="15"/>
      <c r="C521" s="4"/>
      <c r="D521" s="4"/>
      <c r="E521" s="4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8" t="str">
        <f t="shared" si="40"/>
        <v/>
      </c>
      <c r="S521" s="8" t="str">
        <f t="shared" si="41"/>
        <v/>
      </c>
      <c r="T521" s="8" t="str">
        <f t="shared" si="42"/>
        <v/>
      </c>
      <c r="U521" s="11" t="str">
        <f t="shared" si="44"/>
        <v/>
      </c>
      <c r="V521" s="11" t="str">
        <f t="shared" si="43"/>
        <v/>
      </c>
    </row>
    <row r="522" spans="1:22" ht="15" customHeight="1">
      <c r="A522" s="4"/>
      <c r="B522" s="15"/>
      <c r="C522" s="4"/>
      <c r="D522" s="4"/>
      <c r="E522" s="4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8" t="str">
        <f t="shared" si="40"/>
        <v/>
      </c>
      <c r="S522" s="8" t="str">
        <f t="shared" si="41"/>
        <v/>
      </c>
      <c r="T522" s="8" t="str">
        <f t="shared" si="42"/>
        <v/>
      </c>
      <c r="U522" s="11" t="str">
        <f t="shared" si="44"/>
        <v/>
      </c>
      <c r="V522" s="11" t="str">
        <f t="shared" si="43"/>
        <v/>
      </c>
    </row>
    <row r="523" spans="1:22" ht="15" customHeight="1">
      <c r="A523" s="4"/>
      <c r="B523" s="15"/>
      <c r="C523" s="4"/>
      <c r="D523" s="4"/>
      <c r="E523" s="4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8" t="str">
        <f t="shared" si="40"/>
        <v/>
      </c>
      <c r="S523" s="8" t="str">
        <f t="shared" si="41"/>
        <v/>
      </c>
      <c r="T523" s="8" t="str">
        <f t="shared" si="42"/>
        <v/>
      </c>
      <c r="U523" s="11" t="str">
        <f t="shared" si="44"/>
        <v/>
      </c>
      <c r="V523" s="11" t="str">
        <f t="shared" si="43"/>
        <v/>
      </c>
    </row>
    <row r="524" spans="1:22" ht="15" customHeight="1">
      <c r="A524" s="4"/>
      <c r="B524" s="15"/>
      <c r="C524" s="4"/>
      <c r="D524" s="4"/>
      <c r="E524" s="4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8" t="str">
        <f t="shared" si="40"/>
        <v/>
      </c>
      <c r="S524" s="8" t="str">
        <f t="shared" si="41"/>
        <v/>
      </c>
      <c r="T524" s="8" t="str">
        <f t="shared" si="42"/>
        <v/>
      </c>
      <c r="U524" s="11" t="str">
        <f t="shared" si="44"/>
        <v/>
      </c>
      <c r="V524" s="11" t="str">
        <f t="shared" si="43"/>
        <v/>
      </c>
    </row>
    <row r="525" spans="1:22" ht="15" customHeight="1">
      <c r="A525" s="4"/>
      <c r="B525" s="15"/>
      <c r="C525" s="4"/>
      <c r="D525" s="4"/>
      <c r="E525" s="4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8" t="str">
        <f t="shared" si="40"/>
        <v/>
      </c>
      <c r="S525" s="8" t="str">
        <f t="shared" si="41"/>
        <v/>
      </c>
      <c r="T525" s="8" t="str">
        <f t="shared" si="42"/>
        <v/>
      </c>
      <c r="U525" s="11" t="str">
        <f t="shared" si="44"/>
        <v/>
      </c>
      <c r="V525" s="11" t="str">
        <f t="shared" si="43"/>
        <v/>
      </c>
    </row>
    <row r="526" spans="1:22" ht="15" customHeight="1">
      <c r="A526" s="4"/>
      <c r="B526" s="15"/>
      <c r="C526" s="4"/>
      <c r="D526" s="4"/>
      <c r="E526" s="4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8" t="str">
        <f t="shared" si="40"/>
        <v/>
      </c>
      <c r="S526" s="8" t="str">
        <f t="shared" si="41"/>
        <v/>
      </c>
      <c r="T526" s="8" t="str">
        <f t="shared" si="42"/>
        <v/>
      </c>
      <c r="U526" s="11" t="str">
        <f t="shared" si="44"/>
        <v/>
      </c>
      <c r="V526" s="11" t="str">
        <f t="shared" si="43"/>
        <v/>
      </c>
    </row>
    <row r="527" spans="1:22" ht="15" customHeight="1">
      <c r="A527" s="4"/>
      <c r="B527" s="15"/>
      <c r="C527" s="4"/>
      <c r="D527" s="4"/>
      <c r="E527" s="4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8" t="str">
        <f t="shared" si="40"/>
        <v/>
      </c>
      <c r="S527" s="8" t="str">
        <f t="shared" si="41"/>
        <v/>
      </c>
      <c r="T527" s="8" t="str">
        <f t="shared" si="42"/>
        <v/>
      </c>
      <c r="U527" s="11" t="str">
        <f t="shared" si="44"/>
        <v/>
      </c>
      <c r="V527" s="11" t="str">
        <f t="shared" si="43"/>
        <v/>
      </c>
    </row>
    <row r="528" spans="1:22" ht="15" customHeight="1">
      <c r="A528" s="4"/>
      <c r="B528" s="15"/>
      <c r="C528" s="4"/>
      <c r="D528" s="4"/>
      <c r="E528" s="4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8" t="str">
        <f t="shared" si="40"/>
        <v/>
      </c>
      <c r="S528" s="8" t="str">
        <f t="shared" si="41"/>
        <v/>
      </c>
      <c r="T528" s="8" t="str">
        <f t="shared" si="42"/>
        <v/>
      </c>
      <c r="U528" s="11" t="str">
        <f t="shared" si="44"/>
        <v/>
      </c>
      <c r="V528" s="11" t="str">
        <f t="shared" si="43"/>
        <v/>
      </c>
    </row>
    <row r="529" spans="1:22" ht="15" customHeight="1">
      <c r="A529" s="4"/>
      <c r="B529" s="15"/>
      <c r="C529" s="4"/>
      <c r="D529" s="4"/>
      <c r="E529" s="4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8" t="str">
        <f t="shared" si="40"/>
        <v/>
      </c>
      <c r="S529" s="8" t="str">
        <f t="shared" si="41"/>
        <v/>
      </c>
      <c r="T529" s="8" t="str">
        <f t="shared" si="42"/>
        <v/>
      </c>
      <c r="U529" s="11" t="str">
        <f t="shared" si="44"/>
        <v/>
      </c>
      <c r="V529" s="11" t="str">
        <f t="shared" si="43"/>
        <v/>
      </c>
    </row>
    <row r="530" spans="1:22" ht="15" customHeight="1">
      <c r="A530" s="4"/>
      <c r="B530" s="15"/>
      <c r="C530" s="4"/>
      <c r="D530" s="4"/>
      <c r="E530" s="4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8" t="str">
        <f t="shared" si="40"/>
        <v/>
      </c>
      <c r="S530" s="8" t="str">
        <f t="shared" si="41"/>
        <v/>
      </c>
      <c r="T530" s="8" t="str">
        <f t="shared" si="42"/>
        <v/>
      </c>
      <c r="U530" s="11" t="str">
        <f t="shared" si="44"/>
        <v/>
      </c>
      <c r="V530" s="11" t="str">
        <f t="shared" si="43"/>
        <v/>
      </c>
    </row>
    <row r="531" spans="1:22" ht="15" customHeight="1">
      <c r="A531" s="4"/>
      <c r="B531" s="15"/>
      <c r="C531" s="4"/>
      <c r="D531" s="4"/>
      <c r="E531" s="4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8" t="str">
        <f t="shared" si="40"/>
        <v/>
      </c>
      <c r="S531" s="8" t="str">
        <f t="shared" si="41"/>
        <v/>
      </c>
      <c r="T531" s="8" t="str">
        <f t="shared" si="42"/>
        <v/>
      </c>
      <c r="U531" s="11" t="str">
        <f t="shared" si="44"/>
        <v/>
      </c>
      <c r="V531" s="11" t="str">
        <f t="shared" si="43"/>
        <v/>
      </c>
    </row>
    <row r="532" spans="1:22" ht="15" customHeight="1">
      <c r="A532" s="4"/>
      <c r="B532" s="15"/>
      <c r="C532" s="4"/>
      <c r="D532" s="4"/>
      <c r="E532" s="4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8" t="str">
        <f t="shared" si="40"/>
        <v/>
      </c>
      <c r="S532" s="8" t="str">
        <f t="shared" si="41"/>
        <v/>
      </c>
      <c r="T532" s="8" t="str">
        <f t="shared" si="42"/>
        <v/>
      </c>
      <c r="U532" s="11" t="str">
        <f t="shared" si="44"/>
        <v/>
      </c>
      <c r="V532" s="11" t="str">
        <f t="shared" si="43"/>
        <v/>
      </c>
    </row>
    <row r="533" spans="1:22" ht="15" customHeight="1">
      <c r="A533" s="4"/>
      <c r="B533" s="15"/>
      <c r="C533" s="4"/>
      <c r="D533" s="4"/>
      <c r="E533" s="4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8" t="str">
        <f t="shared" si="40"/>
        <v/>
      </c>
      <c r="S533" s="8" t="str">
        <f t="shared" si="41"/>
        <v/>
      </c>
      <c r="T533" s="8" t="str">
        <f t="shared" si="42"/>
        <v/>
      </c>
      <c r="U533" s="11" t="str">
        <f t="shared" si="44"/>
        <v/>
      </c>
      <c r="V533" s="11" t="str">
        <f t="shared" si="43"/>
        <v/>
      </c>
    </row>
    <row r="534" spans="1:22" ht="15" customHeight="1">
      <c r="A534" s="4"/>
      <c r="B534" s="15"/>
      <c r="C534" s="4"/>
      <c r="D534" s="4"/>
      <c r="E534" s="4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8" t="str">
        <f t="shared" si="40"/>
        <v/>
      </c>
      <c r="S534" s="8" t="str">
        <f t="shared" si="41"/>
        <v/>
      </c>
      <c r="T534" s="8" t="str">
        <f t="shared" si="42"/>
        <v/>
      </c>
      <c r="U534" s="11" t="str">
        <f t="shared" si="44"/>
        <v/>
      </c>
      <c r="V534" s="11" t="str">
        <f t="shared" si="43"/>
        <v/>
      </c>
    </row>
    <row r="535" spans="1:22" ht="15" customHeight="1">
      <c r="A535" s="4"/>
      <c r="B535" s="15"/>
      <c r="C535" s="4"/>
      <c r="D535" s="4"/>
      <c r="E535" s="4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8" t="str">
        <f t="shared" si="40"/>
        <v/>
      </c>
      <c r="S535" s="8" t="str">
        <f t="shared" si="41"/>
        <v/>
      </c>
      <c r="T535" s="8" t="str">
        <f t="shared" si="42"/>
        <v/>
      </c>
      <c r="U535" s="11" t="str">
        <f t="shared" si="44"/>
        <v/>
      </c>
      <c r="V535" s="11" t="str">
        <f t="shared" si="43"/>
        <v/>
      </c>
    </row>
    <row r="536" spans="1:22" ht="15" customHeight="1">
      <c r="A536" s="4"/>
      <c r="B536" s="15"/>
      <c r="C536" s="4"/>
      <c r="D536" s="4"/>
      <c r="E536" s="4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8" t="str">
        <f t="shared" si="40"/>
        <v/>
      </c>
      <c r="S536" s="8" t="str">
        <f t="shared" si="41"/>
        <v/>
      </c>
      <c r="T536" s="8" t="str">
        <f t="shared" si="42"/>
        <v/>
      </c>
      <c r="U536" s="11" t="str">
        <f t="shared" si="44"/>
        <v/>
      </c>
      <c r="V536" s="11" t="str">
        <f t="shared" si="43"/>
        <v/>
      </c>
    </row>
    <row r="537" spans="1:22" ht="15" customHeight="1">
      <c r="A537" s="4"/>
      <c r="B537" s="15"/>
      <c r="C537" s="4"/>
      <c r="D537" s="4"/>
      <c r="E537" s="4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8" t="str">
        <f t="shared" si="40"/>
        <v/>
      </c>
      <c r="S537" s="8" t="str">
        <f t="shared" si="41"/>
        <v/>
      </c>
      <c r="T537" s="8" t="str">
        <f t="shared" si="42"/>
        <v/>
      </c>
      <c r="U537" s="11" t="str">
        <f t="shared" si="44"/>
        <v/>
      </c>
      <c r="V537" s="11" t="str">
        <f t="shared" si="43"/>
        <v/>
      </c>
    </row>
    <row r="538" spans="1:22" ht="15" customHeight="1">
      <c r="A538" s="4"/>
      <c r="B538" s="15"/>
      <c r="C538" s="4"/>
      <c r="D538" s="4"/>
      <c r="E538" s="4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8" t="str">
        <f t="shared" si="40"/>
        <v/>
      </c>
      <c r="S538" s="8" t="str">
        <f t="shared" si="41"/>
        <v/>
      </c>
      <c r="T538" s="8" t="str">
        <f t="shared" si="42"/>
        <v/>
      </c>
      <c r="U538" s="11" t="str">
        <f t="shared" si="44"/>
        <v/>
      </c>
      <c r="V538" s="11" t="str">
        <f t="shared" si="43"/>
        <v/>
      </c>
    </row>
    <row r="539" spans="1:22" ht="15" customHeight="1">
      <c r="A539" s="4"/>
      <c r="B539" s="15"/>
      <c r="C539" s="4"/>
      <c r="D539" s="4"/>
      <c r="E539" s="4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8" t="str">
        <f t="shared" si="40"/>
        <v/>
      </c>
      <c r="S539" s="8" t="str">
        <f t="shared" si="41"/>
        <v/>
      </c>
      <c r="T539" s="8" t="str">
        <f t="shared" si="42"/>
        <v/>
      </c>
      <c r="U539" s="11" t="str">
        <f t="shared" si="44"/>
        <v/>
      </c>
      <c r="V539" s="11" t="str">
        <f t="shared" si="43"/>
        <v/>
      </c>
    </row>
    <row r="540" spans="1:22" ht="15" customHeight="1">
      <c r="A540" s="4"/>
      <c r="B540" s="15"/>
      <c r="C540" s="4"/>
      <c r="D540" s="4"/>
      <c r="E540" s="4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8" t="str">
        <f t="shared" si="40"/>
        <v/>
      </c>
      <c r="S540" s="8" t="str">
        <f t="shared" si="41"/>
        <v/>
      </c>
      <c r="T540" s="8" t="str">
        <f t="shared" si="42"/>
        <v/>
      </c>
      <c r="U540" s="11" t="str">
        <f t="shared" si="44"/>
        <v/>
      </c>
      <c r="V540" s="11" t="str">
        <f t="shared" si="43"/>
        <v/>
      </c>
    </row>
    <row r="541" spans="1:22" ht="15" customHeight="1">
      <c r="A541" s="4"/>
      <c r="B541" s="15"/>
      <c r="C541" s="4"/>
      <c r="D541" s="4"/>
      <c r="E541" s="4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8" t="str">
        <f t="shared" si="40"/>
        <v/>
      </c>
      <c r="S541" s="8" t="str">
        <f t="shared" si="41"/>
        <v/>
      </c>
      <c r="T541" s="8" t="str">
        <f t="shared" si="42"/>
        <v/>
      </c>
      <c r="U541" s="11" t="str">
        <f t="shared" si="44"/>
        <v/>
      </c>
      <c r="V541" s="11" t="str">
        <f t="shared" si="43"/>
        <v/>
      </c>
    </row>
    <row r="542" spans="1:22" ht="15" customHeight="1">
      <c r="A542" s="4"/>
      <c r="B542" s="15"/>
      <c r="C542" s="4"/>
      <c r="D542" s="4"/>
      <c r="E542" s="4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8" t="str">
        <f t="shared" si="40"/>
        <v/>
      </c>
      <c r="S542" s="8" t="str">
        <f t="shared" si="41"/>
        <v/>
      </c>
      <c r="T542" s="8" t="str">
        <f t="shared" si="42"/>
        <v/>
      </c>
      <c r="U542" s="11" t="str">
        <f t="shared" si="44"/>
        <v/>
      </c>
      <c r="V542" s="11" t="str">
        <f t="shared" si="43"/>
        <v/>
      </c>
    </row>
    <row r="543" spans="1:22" ht="15" customHeight="1">
      <c r="A543" s="4"/>
      <c r="B543" s="15"/>
      <c r="C543" s="4"/>
      <c r="D543" s="4"/>
      <c r="E543" s="4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8" t="str">
        <f t="shared" si="40"/>
        <v/>
      </c>
      <c r="S543" s="8" t="str">
        <f t="shared" si="41"/>
        <v/>
      </c>
      <c r="T543" s="8" t="str">
        <f t="shared" si="42"/>
        <v/>
      </c>
      <c r="U543" s="11" t="str">
        <f t="shared" si="44"/>
        <v/>
      </c>
      <c r="V543" s="11" t="str">
        <f t="shared" si="43"/>
        <v/>
      </c>
    </row>
    <row r="544" spans="1:22" ht="15" customHeight="1">
      <c r="A544" s="4"/>
      <c r="B544" s="15"/>
      <c r="C544" s="4"/>
      <c r="D544" s="4"/>
      <c r="E544" s="4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8" t="str">
        <f t="shared" si="40"/>
        <v/>
      </c>
      <c r="S544" s="8" t="str">
        <f t="shared" si="41"/>
        <v/>
      </c>
      <c r="T544" s="8" t="str">
        <f t="shared" si="42"/>
        <v/>
      </c>
      <c r="U544" s="11" t="str">
        <f t="shared" si="44"/>
        <v/>
      </c>
      <c r="V544" s="11" t="str">
        <f t="shared" si="43"/>
        <v/>
      </c>
    </row>
    <row r="545" spans="1:22" ht="15" customHeight="1">
      <c r="A545" s="4"/>
      <c r="B545" s="15"/>
      <c r="C545" s="4"/>
      <c r="D545" s="4"/>
      <c r="E545" s="4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8" t="str">
        <f t="shared" si="40"/>
        <v/>
      </c>
      <c r="S545" s="8" t="str">
        <f t="shared" si="41"/>
        <v/>
      </c>
      <c r="T545" s="8" t="str">
        <f t="shared" si="42"/>
        <v/>
      </c>
      <c r="U545" s="11" t="str">
        <f t="shared" si="44"/>
        <v/>
      </c>
      <c r="V545" s="11" t="str">
        <f t="shared" si="43"/>
        <v/>
      </c>
    </row>
    <row r="546" spans="1:22" ht="15" customHeight="1">
      <c r="A546" s="4"/>
      <c r="B546" s="15"/>
      <c r="C546" s="4"/>
      <c r="D546" s="4"/>
      <c r="E546" s="4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8" t="str">
        <f t="shared" ref="R546:R603" si="45">IF(AND(F546="",H546=""),"",IF(SUM(F546,H546)=0,0,F546+H546))</f>
        <v/>
      </c>
      <c r="S546" s="8" t="str">
        <f t="shared" si="41"/>
        <v/>
      </c>
      <c r="T546" s="8" t="str">
        <f t="shared" si="42"/>
        <v/>
      </c>
      <c r="U546" s="11" t="str">
        <f t="shared" si="44"/>
        <v/>
      </c>
      <c r="V546" s="11" t="str">
        <f t="shared" si="43"/>
        <v/>
      </c>
    </row>
    <row r="547" spans="1:22" ht="15" customHeight="1">
      <c r="A547" s="4"/>
      <c r="B547" s="15"/>
      <c r="C547" s="4"/>
      <c r="D547" s="4"/>
      <c r="E547" s="4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8" t="str">
        <f t="shared" si="45"/>
        <v/>
      </c>
      <c r="S547" s="8" t="str">
        <f t="shared" si="41"/>
        <v/>
      </c>
      <c r="T547" s="8" t="str">
        <f t="shared" si="42"/>
        <v/>
      </c>
      <c r="U547" s="11" t="str">
        <f t="shared" si="44"/>
        <v/>
      </c>
      <c r="V547" s="11" t="str">
        <f t="shared" si="43"/>
        <v/>
      </c>
    </row>
    <row r="548" spans="1:22" ht="15" customHeight="1">
      <c r="A548" s="4"/>
      <c r="B548" s="15"/>
      <c r="C548" s="4"/>
      <c r="D548" s="4"/>
      <c r="E548" s="4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8" t="str">
        <f t="shared" si="45"/>
        <v/>
      </c>
      <c r="S548" s="8" t="str">
        <f t="shared" si="41"/>
        <v/>
      </c>
      <c r="T548" s="8" t="str">
        <f t="shared" si="42"/>
        <v/>
      </c>
      <c r="U548" s="11" t="str">
        <f t="shared" si="44"/>
        <v/>
      </c>
      <c r="V548" s="11" t="str">
        <f t="shared" si="43"/>
        <v/>
      </c>
    </row>
    <row r="549" spans="1:22" ht="15" customHeight="1">
      <c r="A549" s="4"/>
      <c r="B549" s="15"/>
      <c r="C549" s="4"/>
      <c r="D549" s="4"/>
      <c r="E549" s="4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8" t="str">
        <f t="shared" si="45"/>
        <v/>
      </c>
      <c r="S549" s="8" t="str">
        <f t="shared" si="41"/>
        <v/>
      </c>
      <c r="T549" s="8" t="str">
        <f t="shared" si="42"/>
        <v/>
      </c>
      <c r="U549" s="11" t="str">
        <f t="shared" si="44"/>
        <v/>
      </c>
      <c r="V549" s="11" t="str">
        <f t="shared" si="43"/>
        <v/>
      </c>
    </row>
    <row r="550" spans="1:22" ht="15" customHeight="1">
      <c r="A550" s="4"/>
      <c r="B550" s="15"/>
      <c r="C550" s="4"/>
      <c r="D550" s="4"/>
      <c r="E550" s="4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8" t="str">
        <f t="shared" si="45"/>
        <v/>
      </c>
      <c r="S550" s="8" t="str">
        <f t="shared" si="41"/>
        <v/>
      </c>
      <c r="T550" s="8" t="str">
        <f t="shared" si="42"/>
        <v/>
      </c>
      <c r="U550" s="11" t="str">
        <f t="shared" si="44"/>
        <v/>
      </c>
      <c r="V550" s="11" t="str">
        <f t="shared" si="43"/>
        <v/>
      </c>
    </row>
    <row r="551" spans="1:22" ht="15" customHeight="1">
      <c r="A551" s="4"/>
      <c r="B551" s="15"/>
      <c r="C551" s="4"/>
      <c r="D551" s="4"/>
      <c r="E551" s="4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8" t="str">
        <f t="shared" si="45"/>
        <v/>
      </c>
      <c r="S551" s="8" t="str">
        <f t="shared" si="41"/>
        <v/>
      </c>
      <c r="T551" s="8" t="str">
        <f t="shared" si="42"/>
        <v/>
      </c>
      <c r="U551" s="11" t="str">
        <f t="shared" si="44"/>
        <v/>
      </c>
      <c r="V551" s="11" t="str">
        <f t="shared" si="43"/>
        <v/>
      </c>
    </row>
    <row r="552" spans="1:22" ht="15" customHeight="1">
      <c r="A552" s="4"/>
      <c r="B552" s="15"/>
      <c r="C552" s="4"/>
      <c r="D552" s="4"/>
      <c r="E552" s="4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8" t="str">
        <f t="shared" si="45"/>
        <v/>
      </c>
      <c r="S552" s="8" t="str">
        <f t="shared" si="41"/>
        <v/>
      </c>
      <c r="T552" s="8" t="str">
        <f t="shared" si="42"/>
        <v/>
      </c>
      <c r="U552" s="11" t="str">
        <f t="shared" si="44"/>
        <v/>
      </c>
      <c r="V552" s="11" t="str">
        <f t="shared" si="43"/>
        <v/>
      </c>
    </row>
    <row r="553" spans="1:22" ht="15" customHeight="1">
      <c r="A553" s="4"/>
      <c r="B553" s="15"/>
      <c r="C553" s="4"/>
      <c r="D553" s="4"/>
      <c r="E553" s="4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8" t="str">
        <f t="shared" si="45"/>
        <v/>
      </c>
      <c r="S553" s="8" t="str">
        <f t="shared" si="41"/>
        <v/>
      </c>
      <c r="T553" s="8" t="str">
        <f t="shared" si="42"/>
        <v/>
      </c>
      <c r="U553" s="11" t="str">
        <f t="shared" si="44"/>
        <v/>
      </c>
      <c r="V553" s="11" t="str">
        <f t="shared" si="43"/>
        <v/>
      </c>
    </row>
    <row r="554" spans="1:22" ht="15" customHeight="1">
      <c r="A554" s="4"/>
      <c r="B554" s="15"/>
      <c r="C554" s="4"/>
      <c r="D554" s="4"/>
      <c r="E554" s="4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8" t="str">
        <f t="shared" si="45"/>
        <v/>
      </c>
      <c r="S554" s="8" t="str">
        <f t="shared" si="41"/>
        <v/>
      </c>
      <c r="T554" s="8" t="str">
        <f t="shared" si="42"/>
        <v/>
      </c>
      <c r="U554" s="11" t="str">
        <f t="shared" si="44"/>
        <v/>
      </c>
      <c r="V554" s="11" t="str">
        <f t="shared" si="43"/>
        <v/>
      </c>
    </row>
    <row r="555" spans="1:22" ht="15" customHeight="1">
      <c r="A555" s="4"/>
      <c r="B555" s="15"/>
      <c r="C555" s="4"/>
      <c r="D555" s="4"/>
      <c r="E555" s="4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8" t="str">
        <f t="shared" si="45"/>
        <v/>
      </c>
      <c r="S555" s="8" t="str">
        <f t="shared" si="41"/>
        <v/>
      </c>
      <c r="T555" s="8" t="str">
        <f t="shared" si="42"/>
        <v/>
      </c>
      <c r="U555" s="11" t="str">
        <f t="shared" si="44"/>
        <v/>
      </c>
      <c r="V555" s="11" t="str">
        <f t="shared" si="43"/>
        <v/>
      </c>
    </row>
    <row r="556" spans="1:22" ht="15" customHeight="1">
      <c r="A556" s="4"/>
      <c r="B556" s="15"/>
      <c r="C556" s="4"/>
      <c r="D556" s="4"/>
      <c r="E556" s="4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8" t="str">
        <f t="shared" si="45"/>
        <v/>
      </c>
      <c r="S556" s="8" t="str">
        <f t="shared" si="41"/>
        <v/>
      </c>
      <c r="T556" s="8" t="str">
        <f t="shared" si="42"/>
        <v/>
      </c>
      <c r="U556" s="11" t="str">
        <f t="shared" si="44"/>
        <v/>
      </c>
      <c r="V556" s="11" t="str">
        <f t="shared" si="43"/>
        <v/>
      </c>
    </row>
    <row r="557" spans="1:22" ht="15" customHeight="1">
      <c r="A557" s="4"/>
      <c r="B557" s="15"/>
      <c r="C557" s="4"/>
      <c r="D557" s="4"/>
      <c r="E557" s="4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8" t="str">
        <f t="shared" si="45"/>
        <v/>
      </c>
      <c r="S557" s="8" t="str">
        <f t="shared" si="41"/>
        <v/>
      </c>
      <c r="T557" s="8" t="str">
        <f t="shared" si="42"/>
        <v/>
      </c>
      <c r="U557" s="11" t="str">
        <f t="shared" si="44"/>
        <v/>
      </c>
      <c r="V557" s="11" t="str">
        <f t="shared" si="43"/>
        <v/>
      </c>
    </row>
    <row r="558" spans="1:22" ht="15" customHeight="1">
      <c r="A558" s="4"/>
      <c r="B558" s="15"/>
      <c r="C558" s="4"/>
      <c r="D558" s="4"/>
      <c r="E558" s="4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8" t="str">
        <f t="shared" si="45"/>
        <v/>
      </c>
      <c r="S558" s="8" t="str">
        <f t="shared" si="41"/>
        <v/>
      </c>
      <c r="T558" s="8" t="str">
        <f t="shared" si="42"/>
        <v/>
      </c>
      <c r="U558" s="11" t="str">
        <f t="shared" si="44"/>
        <v/>
      </c>
      <c r="V558" s="11" t="str">
        <f t="shared" si="43"/>
        <v/>
      </c>
    </row>
    <row r="559" spans="1:22" ht="15" customHeight="1">
      <c r="A559" s="4"/>
      <c r="B559" s="15"/>
      <c r="C559" s="4"/>
      <c r="D559" s="4"/>
      <c r="E559" s="4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8" t="str">
        <f t="shared" si="45"/>
        <v/>
      </c>
      <c r="S559" s="8" t="str">
        <f t="shared" si="41"/>
        <v/>
      </c>
      <c r="T559" s="8" t="str">
        <f t="shared" si="42"/>
        <v/>
      </c>
      <c r="U559" s="11" t="str">
        <f t="shared" si="44"/>
        <v/>
      </c>
      <c r="V559" s="11" t="str">
        <f t="shared" si="43"/>
        <v/>
      </c>
    </row>
    <row r="560" spans="1:22" ht="15" customHeight="1">
      <c r="A560" s="4"/>
      <c r="B560" s="15"/>
      <c r="C560" s="4"/>
      <c r="D560" s="4"/>
      <c r="E560" s="4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8" t="str">
        <f t="shared" si="45"/>
        <v/>
      </c>
      <c r="S560" s="8" t="str">
        <f t="shared" si="41"/>
        <v/>
      </c>
      <c r="T560" s="8" t="str">
        <f t="shared" si="42"/>
        <v/>
      </c>
      <c r="U560" s="11" t="str">
        <f t="shared" si="44"/>
        <v/>
      </c>
      <c r="V560" s="11" t="str">
        <f t="shared" si="43"/>
        <v/>
      </c>
    </row>
    <row r="561" spans="1:22" ht="15" customHeight="1">
      <c r="A561" s="4"/>
      <c r="B561" s="15"/>
      <c r="C561" s="4"/>
      <c r="D561" s="4"/>
      <c r="E561" s="4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8" t="str">
        <f t="shared" si="45"/>
        <v/>
      </c>
      <c r="S561" s="8" t="str">
        <f t="shared" si="41"/>
        <v/>
      </c>
      <c r="T561" s="8" t="str">
        <f t="shared" si="42"/>
        <v/>
      </c>
      <c r="U561" s="11" t="str">
        <f t="shared" si="44"/>
        <v/>
      </c>
      <c r="V561" s="11" t="str">
        <f t="shared" si="43"/>
        <v/>
      </c>
    </row>
    <row r="562" spans="1:22" ht="15" customHeight="1">
      <c r="A562" s="4"/>
      <c r="B562" s="15"/>
      <c r="C562" s="4"/>
      <c r="D562" s="4"/>
      <c r="E562" s="4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8" t="str">
        <f t="shared" si="45"/>
        <v/>
      </c>
      <c r="S562" s="8" t="str">
        <f t="shared" si="41"/>
        <v/>
      </c>
      <c r="T562" s="8" t="str">
        <f t="shared" si="42"/>
        <v/>
      </c>
      <c r="U562" s="11" t="str">
        <f t="shared" si="44"/>
        <v/>
      </c>
      <c r="V562" s="11" t="str">
        <f t="shared" si="43"/>
        <v/>
      </c>
    </row>
    <row r="563" spans="1:22" ht="15" customHeight="1">
      <c r="A563" s="4"/>
      <c r="B563" s="15"/>
      <c r="C563" s="4"/>
      <c r="D563" s="4"/>
      <c r="E563" s="4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8" t="str">
        <f t="shared" si="45"/>
        <v/>
      </c>
      <c r="S563" s="8" t="str">
        <f t="shared" si="41"/>
        <v/>
      </c>
      <c r="T563" s="8" t="str">
        <f t="shared" si="42"/>
        <v/>
      </c>
      <c r="U563" s="11" t="str">
        <f t="shared" si="44"/>
        <v/>
      </c>
      <c r="V563" s="11" t="str">
        <f t="shared" si="43"/>
        <v/>
      </c>
    </row>
    <row r="564" spans="1:22" ht="15" customHeight="1">
      <c r="A564" s="4"/>
      <c r="B564" s="15"/>
      <c r="C564" s="4"/>
      <c r="D564" s="4"/>
      <c r="E564" s="4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8" t="str">
        <f t="shared" si="45"/>
        <v/>
      </c>
      <c r="S564" s="8" t="str">
        <f t="shared" si="41"/>
        <v/>
      </c>
      <c r="T564" s="8" t="str">
        <f t="shared" si="42"/>
        <v/>
      </c>
      <c r="U564" s="11" t="str">
        <f t="shared" si="44"/>
        <v/>
      </c>
      <c r="V564" s="11" t="str">
        <f t="shared" si="43"/>
        <v/>
      </c>
    </row>
    <row r="565" spans="1:22" ht="15" customHeight="1">
      <c r="A565" s="4"/>
      <c r="B565" s="15"/>
      <c r="C565" s="4"/>
      <c r="D565" s="4"/>
      <c r="E565" s="4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8" t="str">
        <f t="shared" si="45"/>
        <v/>
      </c>
      <c r="S565" s="8" t="str">
        <f t="shared" si="41"/>
        <v/>
      </c>
      <c r="T565" s="8" t="str">
        <f t="shared" si="42"/>
        <v/>
      </c>
      <c r="U565" s="11" t="str">
        <f t="shared" si="44"/>
        <v/>
      </c>
      <c r="V565" s="11" t="str">
        <f t="shared" si="43"/>
        <v/>
      </c>
    </row>
    <row r="566" spans="1:22" ht="15" customHeight="1">
      <c r="A566" s="4"/>
      <c r="B566" s="15"/>
      <c r="C566" s="4"/>
      <c r="D566" s="4"/>
      <c r="E566" s="4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8" t="str">
        <f t="shared" si="45"/>
        <v/>
      </c>
      <c r="S566" s="8" t="str">
        <f t="shared" si="41"/>
        <v/>
      </c>
      <c r="T566" s="8" t="str">
        <f t="shared" si="42"/>
        <v/>
      </c>
      <c r="U566" s="11" t="str">
        <f t="shared" si="44"/>
        <v/>
      </c>
      <c r="V566" s="11" t="str">
        <f t="shared" si="43"/>
        <v/>
      </c>
    </row>
    <row r="567" spans="1:22" ht="15" customHeight="1">
      <c r="A567" s="4"/>
      <c r="B567" s="15"/>
      <c r="C567" s="4"/>
      <c r="D567" s="4"/>
      <c r="E567" s="4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8" t="str">
        <f t="shared" si="45"/>
        <v/>
      </c>
      <c r="S567" s="8" t="str">
        <f t="shared" si="41"/>
        <v/>
      </c>
      <c r="T567" s="8" t="str">
        <f t="shared" si="42"/>
        <v/>
      </c>
      <c r="U567" s="11" t="str">
        <f t="shared" si="44"/>
        <v/>
      </c>
      <c r="V567" s="11" t="str">
        <f t="shared" si="43"/>
        <v/>
      </c>
    </row>
    <row r="568" spans="1:22" ht="15" customHeight="1">
      <c r="A568" s="4"/>
      <c r="B568" s="15"/>
      <c r="C568" s="4"/>
      <c r="D568" s="4"/>
      <c r="E568" s="4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8" t="str">
        <f t="shared" si="45"/>
        <v/>
      </c>
      <c r="S568" s="8" t="str">
        <f t="shared" si="41"/>
        <v/>
      </c>
      <c r="T568" s="8" t="str">
        <f t="shared" si="42"/>
        <v/>
      </c>
      <c r="U568" s="11" t="str">
        <f t="shared" si="44"/>
        <v/>
      </c>
      <c r="V568" s="11" t="str">
        <f t="shared" si="43"/>
        <v/>
      </c>
    </row>
    <row r="569" spans="1:22" ht="15" customHeight="1">
      <c r="A569" s="4"/>
      <c r="B569" s="15"/>
      <c r="C569" s="4"/>
      <c r="D569" s="4"/>
      <c r="E569" s="4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8" t="str">
        <f t="shared" si="45"/>
        <v/>
      </c>
      <c r="S569" s="8" t="str">
        <f t="shared" si="41"/>
        <v/>
      </c>
      <c r="T569" s="8" t="str">
        <f t="shared" si="42"/>
        <v/>
      </c>
      <c r="U569" s="11" t="str">
        <f t="shared" si="44"/>
        <v/>
      </c>
      <c r="V569" s="11" t="str">
        <f t="shared" si="43"/>
        <v/>
      </c>
    </row>
    <row r="570" spans="1:22" ht="15" customHeight="1">
      <c r="A570" s="4"/>
      <c r="B570" s="15"/>
      <c r="C570" s="4"/>
      <c r="D570" s="4"/>
      <c r="E570" s="4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8" t="str">
        <f t="shared" si="45"/>
        <v/>
      </c>
      <c r="S570" s="8" t="str">
        <f t="shared" si="41"/>
        <v/>
      </c>
      <c r="T570" s="8" t="str">
        <f t="shared" si="42"/>
        <v/>
      </c>
      <c r="U570" s="11" t="str">
        <f t="shared" si="44"/>
        <v/>
      </c>
      <c r="V570" s="11" t="str">
        <f t="shared" si="43"/>
        <v/>
      </c>
    </row>
    <row r="571" spans="1:22" ht="15" customHeight="1">
      <c r="A571" s="4"/>
      <c r="B571" s="15"/>
      <c r="C571" s="4"/>
      <c r="D571" s="4"/>
      <c r="E571" s="4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8" t="str">
        <f t="shared" si="45"/>
        <v/>
      </c>
      <c r="S571" s="8" t="str">
        <f t="shared" si="41"/>
        <v/>
      </c>
      <c r="T571" s="8" t="str">
        <f t="shared" si="42"/>
        <v/>
      </c>
      <c r="U571" s="11" t="str">
        <f t="shared" si="44"/>
        <v/>
      </c>
      <c r="V571" s="11" t="str">
        <f t="shared" si="43"/>
        <v/>
      </c>
    </row>
    <row r="572" spans="1:22" ht="15" customHeight="1">
      <c r="A572" s="4"/>
      <c r="B572" s="15"/>
      <c r="C572" s="4"/>
      <c r="D572" s="4"/>
      <c r="E572" s="4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8" t="str">
        <f t="shared" si="45"/>
        <v/>
      </c>
      <c r="S572" s="8" t="str">
        <f t="shared" si="41"/>
        <v/>
      </c>
      <c r="T572" s="8" t="str">
        <f t="shared" si="42"/>
        <v/>
      </c>
      <c r="U572" s="11" t="str">
        <f t="shared" si="44"/>
        <v/>
      </c>
      <c r="V572" s="11" t="str">
        <f t="shared" si="43"/>
        <v/>
      </c>
    </row>
    <row r="573" spans="1:22" ht="15" customHeight="1">
      <c r="A573" s="4"/>
      <c r="B573" s="15"/>
      <c r="C573" s="4"/>
      <c r="D573" s="4"/>
      <c r="E573" s="4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8" t="str">
        <f t="shared" si="45"/>
        <v/>
      </c>
      <c r="S573" s="8" t="str">
        <f t="shared" si="41"/>
        <v/>
      </c>
      <c r="T573" s="8" t="str">
        <f t="shared" si="42"/>
        <v/>
      </c>
      <c r="U573" s="11" t="str">
        <f t="shared" si="44"/>
        <v/>
      </c>
      <c r="V573" s="11" t="str">
        <f t="shared" si="43"/>
        <v/>
      </c>
    </row>
    <row r="574" spans="1:22" ht="15" customHeight="1">
      <c r="A574" s="4"/>
      <c r="B574" s="15"/>
      <c r="C574" s="4"/>
      <c r="D574" s="4"/>
      <c r="E574" s="4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8" t="str">
        <f t="shared" si="45"/>
        <v/>
      </c>
      <c r="S574" s="8" t="str">
        <f t="shared" si="41"/>
        <v/>
      </c>
      <c r="T574" s="8" t="str">
        <f t="shared" si="42"/>
        <v/>
      </c>
      <c r="U574" s="11" t="str">
        <f t="shared" si="44"/>
        <v/>
      </c>
      <c r="V574" s="11" t="str">
        <f t="shared" si="43"/>
        <v/>
      </c>
    </row>
    <row r="575" spans="1:22" ht="15" customHeight="1">
      <c r="A575" s="4"/>
      <c r="B575" s="15"/>
      <c r="C575" s="4"/>
      <c r="D575" s="4"/>
      <c r="E575" s="4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8" t="str">
        <f t="shared" si="45"/>
        <v/>
      </c>
      <c r="S575" s="8" t="str">
        <f t="shared" si="41"/>
        <v/>
      </c>
      <c r="T575" s="8" t="str">
        <f t="shared" si="42"/>
        <v/>
      </c>
      <c r="U575" s="11" t="str">
        <f t="shared" si="44"/>
        <v/>
      </c>
      <c r="V575" s="11" t="str">
        <f t="shared" si="43"/>
        <v/>
      </c>
    </row>
    <row r="576" spans="1:22" ht="15" customHeight="1">
      <c r="A576" s="4"/>
      <c r="B576" s="15"/>
      <c r="C576" s="4"/>
      <c r="D576" s="4"/>
      <c r="E576" s="4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8" t="str">
        <f t="shared" si="45"/>
        <v/>
      </c>
      <c r="S576" s="8" t="str">
        <f t="shared" si="41"/>
        <v/>
      </c>
      <c r="T576" s="8" t="str">
        <f t="shared" si="42"/>
        <v/>
      </c>
      <c r="U576" s="11" t="str">
        <f t="shared" si="44"/>
        <v/>
      </c>
      <c r="V576" s="11" t="str">
        <f t="shared" si="43"/>
        <v/>
      </c>
    </row>
    <row r="577" spans="1:22" ht="15" customHeight="1">
      <c r="A577" s="4"/>
      <c r="B577" s="15"/>
      <c r="C577" s="4"/>
      <c r="D577" s="4"/>
      <c r="E577" s="4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8" t="str">
        <f t="shared" si="45"/>
        <v/>
      </c>
      <c r="S577" s="8" t="str">
        <f t="shared" si="41"/>
        <v/>
      </c>
      <c r="T577" s="8" t="str">
        <f t="shared" si="42"/>
        <v/>
      </c>
      <c r="U577" s="11" t="str">
        <f t="shared" si="44"/>
        <v/>
      </c>
      <c r="V577" s="11" t="str">
        <f t="shared" si="43"/>
        <v/>
      </c>
    </row>
    <row r="578" spans="1:22" ht="15" customHeight="1">
      <c r="A578" s="4"/>
      <c r="B578" s="15"/>
      <c r="C578" s="4"/>
      <c r="D578" s="4"/>
      <c r="E578" s="4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8" t="str">
        <f t="shared" si="45"/>
        <v/>
      </c>
      <c r="S578" s="8" t="str">
        <f t="shared" si="41"/>
        <v/>
      </c>
      <c r="T578" s="8" t="str">
        <f t="shared" si="42"/>
        <v/>
      </c>
      <c r="U578" s="11" t="str">
        <f t="shared" si="44"/>
        <v/>
      </c>
      <c r="V578" s="11" t="str">
        <f t="shared" si="43"/>
        <v/>
      </c>
    </row>
    <row r="579" spans="1:22" ht="15" customHeight="1">
      <c r="A579" s="4"/>
      <c r="B579" s="15"/>
      <c r="C579" s="4"/>
      <c r="D579" s="4"/>
      <c r="E579" s="4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8" t="str">
        <f t="shared" si="45"/>
        <v/>
      </c>
      <c r="S579" s="8" t="str">
        <f t="shared" si="41"/>
        <v/>
      </c>
      <c r="T579" s="8" t="str">
        <f t="shared" si="42"/>
        <v/>
      </c>
      <c r="U579" s="11" t="str">
        <f t="shared" si="44"/>
        <v/>
      </c>
      <c r="V579" s="11" t="str">
        <f t="shared" si="43"/>
        <v/>
      </c>
    </row>
    <row r="580" spans="1:22" ht="15" customHeight="1">
      <c r="A580" s="4"/>
      <c r="B580" s="15"/>
      <c r="C580" s="4"/>
      <c r="D580" s="4"/>
      <c r="E580" s="4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8" t="str">
        <f t="shared" si="45"/>
        <v/>
      </c>
      <c r="S580" s="8" t="str">
        <f t="shared" ref="S580:S603" si="46">IF(SUM(G580,I580)=0,"",G580+I580)</f>
        <v/>
      </c>
      <c r="T580" s="8" t="str">
        <f t="shared" ref="T580:T603" si="47">IF(SUM(F580,H580,J580)=0,"",F580*2+H580*3+J580)</f>
        <v/>
      </c>
      <c r="U580" s="11" t="str">
        <f t="shared" si="44"/>
        <v/>
      </c>
      <c r="V580" s="11" t="str">
        <f t="shared" ref="V580:V603" si="48">IF(K580=0,"",J580/K580)</f>
        <v/>
      </c>
    </row>
    <row r="581" spans="1:22" ht="15" customHeight="1">
      <c r="A581" s="4"/>
      <c r="B581" s="15"/>
      <c r="C581" s="4"/>
      <c r="D581" s="4"/>
      <c r="E581" s="4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8" t="str">
        <f t="shared" si="45"/>
        <v/>
      </c>
      <c r="S581" s="8" t="str">
        <f t="shared" si="46"/>
        <v/>
      </c>
      <c r="T581" s="8" t="str">
        <f t="shared" si="47"/>
        <v/>
      </c>
      <c r="U581" s="11" t="str">
        <f t="shared" ref="U581:U603" si="49">IF(S581="","",IF(R581="",0,R581/S581))</f>
        <v/>
      </c>
      <c r="V581" s="11" t="str">
        <f t="shared" si="48"/>
        <v/>
      </c>
    </row>
    <row r="582" spans="1:22" ht="15" customHeight="1">
      <c r="A582" s="4"/>
      <c r="B582" s="15"/>
      <c r="C582" s="4"/>
      <c r="D582" s="4"/>
      <c r="E582" s="4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8" t="str">
        <f t="shared" si="45"/>
        <v/>
      </c>
      <c r="S582" s="8" t="str">
        <f t="shared" si="46"/>
        <v/>
      </c>
      <c r="T582" s="8" t="str">
        <f t="shared" si="47"/>
        <v/>
      </c>
      <c r="U582" s="11" t="str">
        <f t="shared" si="49"/>
        <v/>
      </c>
      <c r="V582" s="11" t="str">
        <f t="shared" si="48"/>
        <v/>
      </c>
    </row>
    <row r="583" spans="1:22" ht="15" customHeight="1">
      <c r="A583" s="4"/>
      <c r="B583" s="15"/>
      <c r="C583" s="4"/>
      <c r="D583" s="4"/>
      <c r="E583" s="4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8" t="str">
        <f t="shared" si="45"/>
        <v/>
      </c>
      <c r="S583" s="8" t="str">
        <f t="shared" si="46"/>
        <v/>
      </c>
      <c r="T583" s="8" t="str">
        <f t="shared" si="47"/>
        <v/>
      </c>
      <c r="U583" s="11" t="str">
        <f t="shared" si="49"/>
        <v/>
      </c>
      <c r="V583" s="11" t="str">
        <f t="shared" si="48"/>
        <v/>
      </c>
    </row>
    <row r="584" spans="1:22" ht="15" customHeight="1">
      <c r="A584" s="4"/>
      <c r="B584" s="15"/>
      <c r="C584" s="4"/>
      <c r="D584" s="4"/>
      <c r="E584" s="4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8" t="str">
        <f t="shared" si="45"/>
        <v/>
      </c>
      <c r="S584" s="8" t="str">
        <f t="shared" si="46"/>
        <v/>
      </c>
      <c r="T584" s="8" t="str">
        <f t="shared" si="47"/>
        <v/>
      </c>
      <c r="U584" s="11" t="str">
        <f t="shared" si="49"/>
        <v/>
      </c>
      <c r="V584" s="11" t="str">
        <f t="shared" si="48"/>
        <v/>
      </c>
    </row>
    <row r="585" spans="1:22" ht="15" customHeight="1">
      <c r="A585" s="4"/>
      <c r="B585" s="15"/>
      <c r="C585" s="4"/>
      <c r="D585" s="4"/>
      <c r="E585" s="4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8" t="str">
        <f t="shared" si="45"/>
        <v/>
      </c>
      <c r="S585" s="8" t="str">
        <f t="shared" si="46"/>
        <v/>
      </c>
      <c r="T585" s="8" t="str">
        <f t="shared" si="47"/>
        <v/>
      </c>
      <c r="U585" s="11" t="str">
        <f t="shared" si="49"/>
        <v/>
      </c>
      <c r="V585" s="11" t="str">
        <f t="shared" si="48"/>
        <v/>
      </c>
    </row>
    <row r="586" spans="1:22" ht="15" customHeight="1">
      <c r="A586" s="4"/>
      <c r="B586" s="15"/>
      <c r="C586" s="4"/>
      <c r="D586" s="4"/>
      <c r="E586" s="4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8" t="str">
        <f t="shared" si="45"/>
        <v/>
      </c>
      <c r="S586" s="8" t="str">
        <f t="shared" si="46"/>
        <v/>
      </c>
      <c r="T586" s="8" t="str">
        <f t="shared" si="47"/>
        <v/>
      </c>
      <c r="U586" s="11" t="str">
        <f t="shared" si="49"/>
        <v/>
      </c>
      <c r="V586" s="11" t="str">
        <f t="shared" si="48"/>
        <v/>
      </c>
    </row>
    <row r="587" spans="1:22" ht="15" customHeight="1">
      <c r="A587" s="4"/>
      <c r="B587" s="15"/>
      <c r="C587" s="4"/>
      <c r="D587" s="4"/>
      <c r="E587" s="4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8" t="str">
        <f t="shared" si="45"/>
        <v/>
      </c>
      <c r="S587" s="8" t="str">
        <f t="shared" si="46"/>
        <v/>
      </c>
      <c r="T587" s="8" t="str">
        <f t="shared" si="47"/>
        <v/>
      </c>
      <c r="U587" s="11" t="str">
        <f t="shared" si="49"/>
        <v/>
      </c>
      <c r="V587" s="11" t="str">
        <f t="shared" si="48"/>
        <v/>
      </c>
    </row>
    <row r="588" spans="1:22" ht="15" customHeight="1">
      <c r="A588" s="4"/>
      <c r="B588" s="15"/>
      <c r="C588" s="4"/>
      <c r="D588" s="4"/>
      <c r="E588" s="4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8" t="str">
        <f t="shared" si="45"/>
        <v/>
      </c>
      <c r="S588" s="8" t="str">
        <f t="shared" si="46"/>
        <v/>
      </c>
      <c r="T588" s="8" t="str">
        <f t="shared" si="47"/>
        <v/>
      </c>
      <c r="U588" s="11" t="str">
        <f t="shared" si="49"/>
        <v/>
      </c>
      <c r="V588" s="11" t="str">
        <f t="shared" si="48"/>
        <v/>
      </c>
    </row>
    <row r="589" spans="1:22" ht="15" customHeight="1">
      <c r="A589" s="4"/>
      <c r="B589" s="15"/>
      <c r="C589" s="4"/>
      <c r="D589" s="4"/>
      <c r="E589" s="4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8" t="str">
        <f t="shared" si="45"/>
        <v/>
      </c>
      <c r="S589" s="8" t="str">
        <f t="shared" si="46"/>
        <v/>
      </c>
      <c r="T589" s="8" t="str">
        <f t="shared" si="47"/>
        <v/>
      </c>
      <c r="U589" s="11" t="str">
        <f t="shared" si="49"/>
        <v/>
      </c>
      <c r="V589" s="11" t="str">
        <f t="shared" si="48"/>
        <v/>
      </c>
    </row>
    <row r="590" spans="1:22" ht="15" customHeight="1">
      <c r="A590" s="4"/>
      <c r="B590" s="15"/>
      <c r="C590" s="4"/>
      <c r="D590" s="4"/>
      <c r="E590" s="4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8" t="str">
        <f t="shared" si="45"/>
        <v/>
      </c>
      <c r="S590" s="8" t="str">
        <f t="shared" si="46"/>
        <v/>
      </c>
      <c r="T590" s="8" t="str">
        <f t="shared" si="47"/>
        <v/>
      </c>
      <c r="U590" s="11" t="str">
        <f t="shared" si="49"/>
        <v/>
      </c>
      <c r="V590" s="11" t="str">
        <f t="shared" si="48"/>
        <v/>
      </c>
    </row>
    <row r="591" spans="1:22" ht="15" customHeight="1">
      <c r="A591" s="4"/>
      <c r="B591" s="15"/>
      <c r="C591" s="4"/>
      <c r="D591" s="4"/>
      <c r="E591" s="4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8" t="str">
        <f t="shared" si="45"/>
        <v/>
      </c>
      <c r="S591" s="8" t="str">
        <f t="shared" si="46"/>
        <v/>
      </c>
      <c r="T591" s="8" t="str">
        <f t="shared" si="47"/>
        <v/>
      </c>
      <c r="U591" s="11" t="str">
        <f t="shared" si="49"/>
        <v/>
      </c>
      <c r="V591" s="11" t="str">
        <f t="shared" si="48"/>
        <v/>
      </c>
    </row>
    <row r="592" spans="1:22" ht="15" customHeight="1">
      <c r="A592" s="4"/>
      <c r="B592" s="15"/>
      <c r="C592" s="4"/>
      <c r="D592" s="4"/>
      <c r="E592" s="4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8" t="str">
        <f t="shared" si="45"/>
        <v/>
      </c>
      <c r="S592" s="8" t="str">
        <f t="shared" si="46"/>
        <v/>
      </c>
      <c r="T592" s="8" t="str">
        <f t="shared" si="47"/>
        <v/>
      </c>
      <c r="U592" s="11" t="str">
        <f t="shared" si="49"/>
        <v/>
      </c>
      <c r="V592" s="11" t="str">
        <f t="shared" si="48"/>
        <v/>
      </c>
    </row>
    <row r="593" spans="1:22" ht="15" customHeight="1">
      <c r="A593" s="4"/>
      <c r="B593" s="15"/>
      <c r="C593" s="4"/>
      <c r="D593" s="4"/>
      <c r="E593" s="4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8" t="str">
        <f t="shared" si="45"/>
        <v/>
      </c>
      <c r="S593" s="8" t="str">
        <f t="shared" si="46"/>
        <v/>
      </c>
      <c r="T593" s="8" t="str">
        <f t="shared" si="47"/>
        <v/>
      </c>
      <c r="U593" s="11" t="str">
        <f t="shared" si="49"/>
        <v/>
      </c>
      <c r="V593" s="11" t="str">
        <f t="shared" si="48"/>
        <v/>
      </c>
    </row>
    <row r="594" spans="1:22" ht="15" customHeight="1">
      <c r="A594" s="4"/>
      <c r="B594" s="15"/>
      <c r="C594" s="4"/>
      <c r="D594" s="4"/>
      <c r="E594" s="4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8" t="str">
        <f t="shared" si="45"/>
        <v/>
      </c>
      <c r="S594" s="8" t="str">
        <f t="shared" si="46"/>
        <v/>
      </c>
      <c r="T594" s="8" t="str">
        <f t="shared" si="47"/>
        <v/>
      </c>
      <c r="U594" s="11" t="str">
        <f t="shared" si="49"/>
        <v/>
      </c>
      <c r="V594" s="11" t="str">
        <f t="shared" si="48"/>
        <v/>
      </c>
    </row>
    <row r="595" spans="1:22" ht="15" customHeight="1">
      <c r="A595" s="4"/>
      <c r="B595" s="15"/>
      <c r="C595" s="4"/>
      <c r="D595" s="4"/>
      <c r="E595" s="4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8" t="str">
        <f t="shared" si="45"/>
        <v/>
      </c>
      <c r="S595" s="8" t="str">
        <f t="shared" si="46"/>
        <v/>
      </c>
      <c r="T595" s="8" t="str">
        <f t="shared" si="47"/>
        <v/>
      </c>
      <c r="U595" s="11" t="str">
        <f t="shared" si="49"/>
        <v/>
      </c>
      <c r="V595" s="11" t="str">
        <f t="shared" si="48"/>
        <v/>
      </c>
    </row>
    <row r="596" spans="1:22" ht="15" customHeight="1">
      <c r="A596" s="4"/>
      <c r="B596" s="15"/>
      <c r="C596" s="4"/>
      <c r="D596" s="4"/>
      <c r="E596" s="4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8" t="str">
        <f t="shared" si="45"/>
        <v/>
      </c>
      <c r="S596" s="8" t="str">
        <f t="shared" si="46"/>
        <v/>
      </c>
      <c r="T596" s="8" t="str">
        <f t="shared" si="47"/>
        <v/>
      </c>
      <c r="U596" s="11" t="str">
        <f t="shared" si="49"/>
        <v/>
      </c>
      <c r="V596" s="11" t="str">
        <f t="shared" si="48"/>
        <v/>
      </c>
    </row>
    <row r="597" spans="1:22" ht="15" customHeight="1">
      <c r="A597" s="4"/>
      <c r="B597" s="15"/>
      <c r="C597" s="4"/>
      <c r="D597" s="4"/>
      <c r="E597" s="4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8" t="str">
        <f t="shared" si="45"/>
        <v/>
      </c>
      <c r="S597" s="8" t="str">
        <f t="shared" si="46"/>
        <v/>
      </c>
      <c r="T597" s="8" t="str">
        <f t="shared" si="47"/>
        <v/>
      </c>
      <c r="U597" s="11" t="str">
        <f t="shared" si="49"/>
        <v/>
      </c>
      <c r="V597" s="11" t="str">
        <f t="shared" si="48"/>
        <v/>
      </c>
    </row>
    <row r="598" spans="1:22" ht="15" customHeight="1">
      <c r="A598" s="4"/>
      <c r="B598" s="15"/>
      <c r="C598" s="4"/>
      <c r="D598" s="4"/>
      <c r="E598" s="4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8" t="str">
        <f t="shared" si="45"/>
        <v/>
      </c>
      <c r="S598" s="8" t="str">
        <f t="shared" si="46"/>
        <v/>
      </c>
      <c r="T598" s="8" t="str">
        <f t="shared" si="47"/>
        <v/>
      </c>
      <c r="U598" s="11" t="str">
        <f t="shared" si="49"/>
        <v/>
      </c>
      <c r="V598" s="11" t="str">
        <f t="shared" si="48"/>
        <v/>
      </c>
    </row>
    <row r="599" spans="1:22" ht="15" customHeight="1">
      <c r="A599" s="4"/>
      <c r="B599" s="15"/>
      <c r="C599" s="4"/>
      <c r="D599" s="4"/>
      <c r="E599" s="4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8" t="str">
        <f t="shared" si="45"/>
        <v/>
      </c>
      <c r="S599" s="8" t="str">
        <f t="shared" si="46"/>
        <v/>
      </c>
      <c r="T599" s="8" t="str">
        <f t="shared" si="47"/>
        <v/>
      </c>
      <c r="U599" s="11" t="str">
        <f t="shared" si="49"/>
        <v/>
      </c>
      <c r="V599" s="11" t="str">
        <f t="shared" si="48"/>
        <v/>
      </c>
    </row>
    <row r="600" spans="1:22" ht="15" customHeight="1">
      <c r="A600" s="4"/>
      <c r="B600" s="15"/>
      <c r="C600" s="4"/>
      <c r="D600" s="4"/>
      <c r="E600" s="4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8" t="str">
        <f t="shared" si="45"/>
        <v/>
      </c>
      <c r="S600" s="8" t="str">
        <f t="shared" si="46"/>
        <v/>
      </c>
      <c r="T600" s="8" t="str">
        <f t="shared" si="47"/>
        <v/>
      </c>
      <c r="U600" s="11" t="str">
        <f t="shared" si="49"/>
        <v/>
      </c>
      <c r="V600" s="11" t="str">
        <f t="shared" si="48"/>
        <v/>
      </c>
    </row>
    <row r="601" spans="1:22" ht="15" customHeight="1">
      <c r="A601" s="4"/>
      <c r="B601" s="15"/>
      <c r="C601" s="4"/>
      <c r="D601" s="4"/>
      <c r="E601" s="4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8" t="str">
        <f t="shared" si="45"/>
        <v/>
      </c>
      <c r="S601" s="8" t="str">
        <f t="shared" si="46"/>
        <v/>
      </c>
      <c r="T601" s="8" t="str">
        <f t="shared" si="47"/>
        <v/>
      </c>
      <c r="U601" s="11" t="str">
        <f t="shared" si="49"/>
        <v/>
      </c>
      <c r="V601" s="11" t="str">
        <f t="shared" si="48"/>
        <v/>
      </c>
    </row>
    <row r="602" spans="1:22" ht="15" customHeight="1">
      <c r="A602" s="4"/>
      <c r="B602" s="15"/>
      <c r="C602" s="4"/>
      <c r="D602" s="4"/>
      <c r="E602" s="4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8" t="str">
        <f t="shared" si="45"/>
        <v/>
      </c>
      <c r="S602" s="8" t="str">
        <f t="shared" si="46"/>
        <v/>
      </c>
      <c r="T602" s="8" t="str">
        <f t="shared" si="47"/>
        <v/>
      </c>
      <c r="U602" s="11" t="str">
        <f t="shared" si="49"/>
        <v/>
      </c>
      <c r="V602" s="11" t="str">
        <f t="shared" si="48"/>
        <v/>
      </c>
    </row>
    <row r="603" spans="1:22" ht="15" customHeight="1">
      <c r="A603" s="4"/>
      <c r="B603" s="15"/>
      <c r="C603" s="4"/>
      <c r="D603" s="4"/>
      <c r="E603" s="4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8" t="str">
        <f t="shared" si="45"/>
        <v/>
      </c>
      <c r="S603" s="8" t="str">
        <f t="shared" si="46"/>
        <v/>
      </c>
      <c r="T603" s="8" t="str">
        <f t="shared" si="47"/>
        <v/>
      </c>
      <c r="U603" s="11" t="str">
        <f t="shared" si="49"/>
        <v/>
      </c>
      <c r="V603" s="11" t="str">
        <f t="shared" si="48"/>
        <v/>
      </c>
    </row>
  </sheetData>
  <mergeCells count="1">
    <mergeCell ref="A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3"/>
  <sheetViews>
    <sheetView showGridLines="0" topLeftCell="I1" workbookViewId="0">
      <selection activeCell="R33" sqref="R33"/>
    </sheetView>
  </sheetViews>
  <sheetFormatPr defaultRowHeight="14"/>
  <cols>
    <col min="1" max="2" width="12" customWidth="1"/>
    <col min="3" max="3" width="18" customWidth="1"/>
    <col min="4" max="7" width="14" customWidth="1"/>
    <col min="8" max="11" width="12" customWidth="1"/>
    <col min="12" max="13" width="9" customWidth="1"/>
    <col min="14" max="28" width="8" customWidth="1"/>
    <col min="29" max="29" width="16.83203125" customWidth="1"/>
  </cols>
  <sheetData>
    <row r="1" spans="1:29" ht="15" customHeight="1">
      <c r="A1" s="31" t="s">
        <v>46</v>
      </c>
      <c r="B1" s="31" t="s">
        <v>46</v>
      </c>
      <c r="C1" s="31" t="s">
        <v>46</v>
      </c>
      <c r="D1" s="31" t="s">
        <v>46</v>
      </c>
      <c r="E1" s="31" t="s">
        <v>46</v>
      </c>
      <c r="F1" s="31" t="s">
        <v>46</v>
      </c>
      <c r="G1" s="31" t="s">
        <v>46</v>
      </c>
      <c r="H1" s="31" t="s">
        <v>46</v>
      </c>
      <c r="I1" s="31" t="s">
        <v>46</v>
      </c>
      <c r="J1" s="31" t="s">
        <v>46</v>
      </c>
      <c r="K1" s="31" t="s">
        <v>46</v>
      </c>
      <c r="L1" s="31" t="s">
        <v>46</v>
      </c>
      <c r="M1" s="31" t="s">
        <v>46</v>
      </c>
      <c r="N1" s="31" t="s">
        <v>46</v>
      </c>
      <c r="O1" s="31" t="s">
        <v>46</v>
      </c>
      <c r="P1" s="31" t="s">
        <v>46</v>
      </c>
      <c r="Q1" s="31" t="s">
        <v>46</v>
      </c>
      <c r="R1" s="31" t="s">
        <v>46</v>
      </c>
      <c r="S1" s="31" t="s">
        <v>46</v>
      </c>
      <c r="T1" s="31" t="s">
        <v>46</v>
      </c>
      <c r="U1" s="31" t="s">
        <v>46</v>
      </c>
      <c r="V1" s="31" t="s">
        <v>46</v>
      </c>
      <c r="W1" s="1"/>
      <c r="X1" s="1"/>
      <c r="Y1" s="1"/>
      <c r="Z1" s="1"/>
      <c r="AA1" s="1"/>
      <c r="AB1" s="1"/>
    </row>
    <row r="2" spans="1:29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5" customHeight="1">
      <c r="A3" s="2" t="s">
        <v>44</v>
      </c>
      <c r="B3" s="2" t="s">
        <v>45</v>
      </c>
      <c r="C3" s="2" t="s">
        <v>15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25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" t="s">
        <v>35</v>
      </c>
      <c r="Y3" s="2" t="s">
        <v>36</v>
      </c>
      <c r="Z3" s="2" t="s">
        <v>97</v>
      </c>
      <c r="AA3" s="16" t="s">
        <v>114</v>
      </c>
      <c r="AB3" s="2" t="s">
        <v>100</v>
      </c>
      <c r="AC3" s="2" t="s">
        <v>57</v>
      </c>
    </row>
    <row r="4" spans="1:29" ht="15" customHeight="1">
      <c r="A4" s="4">
        <v>1</v>
      </c>
      <c r="B4" s="15">
        <v>46223</v>
      </c>
      <c r="C4" s="14" t="s">
        <v>95</v>
      </c>
      <c r="D4" s="7">
        <v>17</v>
      </c>
      <c r="E4" s="7">
        <v>31</v>
      </c>
      <c r="F4" s="7">
        <v>31</v>
      </c>
      <c r="G4" s="7">
        <v>67</v>
      </c>
      <c r="H4" s="8">
        <f t="shared" ref="H4:H35" si="0">IF($A4="","",IF(D4="","",D4))</f>
        <v>17</v>
      </c>
      <c r="I4" s="8">
        <f t="shared" ref="I4:I35" si="1">IF($A4="","",IF(OR(D4="",E4=""),"",E4-D4))</f>
        <v>14</v>
      </c>
      <c r="J4" s="8">
        <f t="shared" ref="J4:J35" si="2">IF($A4="","",IF(F4="","",F4))</f>
        <v>31</v>
      </c>
      <c r="K4" s="8">
        <f t="shared" ref="K4:K35" si="3">IF($A4="","",IF(OR(F4="",G4=""),"",G4-F4))</f>
        <v>36</v>
      </c>
      <c r="L4" s="10" t="str">
        <f t="shared" ref="L4:L35" si="4">IF($A4="","",IF(OR(E4="",G4=""),"",IF(E4&gt;G4,"W",IF(E4&lt;G4,"L","T"))))</f>
        <v>L</v>
      </c>
      <c r="M4" s="8">
        <f t="shared" ref="M4:M35" si="5">IF($A4="","",IF(OR(E4="",G4=""),"",E4-G4))</f>
        <v>-36</v>
      </c>
      <c r="N4" s="8">
        <f>IF($A4="","",SUMIFS('Player Game Log'!$F$4:$F$603,'Player Game Log'!$A$4:$A$603,A4))</f>
        <v>10</v>
      </c>
      <c r="O4" s="8">
        <f>IF($A4="","",SUMIFS('Player Game Log'!$G$4:$G$603,'Player Game Log'!$A$4:$A$603,A4))</f>
        <v>30</v>
      </c>
      <c r="P4" s="8">
        <f>IF($A4="","",SUMIFS('Player Game Log'!$H$4:$H$603,'Player Game Log'!$A$4:$A$603,A4))</f>
        <v>2</v>
      </c>
      <c r="Q4" s="8">
        <f>IF($A4="","",SUMIFS('Player Game Log'!$I$4:$I$603,'Player Game Log'!$A$4:$A$603,A4))</f>
        <v>30</v>
      </c>
      <c r="R4" s="8">
        <f>IF($A4="","",SUMIFS('Player Game Log'!$R$4:$R$603,'Player Game Log'!$A$4:$A$603,A4))</f>
        <v>12</v>
      </c>
      <c r="S4" s="8">
        <f>IF($A4="","",SUMIFS('Player Game Log'!$S$4:$S$603,'Player Game Log'!$A$4:$A$603,A4))</f>
        <v>60</v>
      </c>
      <c r="T4" s="8">
        <f>IF($A4="","",SUMIFS('Player Game Log'!$J$4:$J$603,'Player Game Log'!$A$4:$A$603,A4))</f>
        <v>5</v>
      </c>
      <c r="U4" s="8">
        <f>IF($A4="","",SUMIFS('Player Game Log'!$K$4:$K$603,'Player Game Log'!$A$4:$A$603,A4))</f>
        <v>11</v>
      </c>
      <c r="V4" s="8">
        <f>IF($A4="","",SUMIFS('Player Game Log'!$L$4:$L$603,'Player Game Log'!$A$4:$A$603,A4))</f>
        <v>24</v>
      </c>
      <c r="W4" s="8">
        <f>IF($A4="","",SUMIFS('Player Game Log'!$M$4:$M$603,'Player Game Log'!$A$4:$A$603,A4))</f>
        <v>3</v>
      </c>
      <c r="X4" s="8">
        <f>IF($A4="","",SUMIFS('Player Game Log'!$N$4:$N$603,'Player Game Log'!$A$4:$A$603,A4))</f>
        <v>2</v>
      </c>
      <c r="Y4" s="8">
        <f>IF($A4="","",SUMIFS('Player Game Log'!$O$4:$O$603,'Player Game Log'!$A$4:$A$603,A4))</f>
        <v>4</v>
      </c>
      <c r="Z4" s="8">
        <f>IF($A4="","",SUMIFS('Player Game Log'!$P$4:$P$603,'Player Game Log'!$A$4:$A$603,A4))</f>
        <v>4</v>
      </c>
      <c r="AA4" s="8">
        <f>IF($A4="","",SUMIFS('Player Game Log'!$Q$4:$Q$603,'Player Game Log'!$A$4:$A$603,A4))</f>
        <v>0</v>
      </c>
      <c r="AB4" s="8">
        <f>IF($A4="","",COUNTIFS('Player Game Log'!$A$4:$A$603,A4))</f>
        <v>8</v>
      </c>
      <c r="AC4" s="10" t="str">
        <f>IF($A4="","",IF(COUNTIFS('Player Game Log'!$A$4:$A$603,A4)&gt;0,"Yes","No"))</f>
        <v>Yes</v>
      </c>
    </row>
    <row r="5" spans="1:29" ht="15" customHeight="1">
      <c r="A5" s="4">
        <v>2</v>
      </c>
      <c r="B5" s="15">
        <v>46230</v>
      </c>
      <c r="C5" s="4" t="s">
        <v>104</v>
      </c>
      <c r="D5" s="7">
        <v>12</v>
      </c>
      <c r="E5" s="7">
        <v>33</v>
      </c>
      <c r="F5" s="7">
        <v>17</v>
      </c>
      <c r="G5" s="7">
        <v>38</v>
      </c>
      <c r="H5" s="8">
        <f t="shared" si="0"/>
        <v>12</v>
      </c>
      <c r="I5" s="8">
        <f t="shared" si="1"/>
        <v>21</v>
      </c>
      <c r="J5" s="8">
        <f t="shared" si="2"/>
        <v>17</v>
      </c>
      <c r="K5" s="8">
        <f t="shared" si="3"/>
        <v>21</v>
      </c>
      <c r="L5" s="10" t="str">
        <f t="shared" si="4"/>
        <v>L</v>
      </c>
      <c r="M5" s="8">
        <f t="shared" si="5"/>
        <v>-5</v>
      </c>
      <c r="N5" s="8">
        <f>IF($A5="","",SUMIFS('Player Game Log'!$F$4:$F$603,'Player Game Log'!$A$4:$A$603,A5))</f>
        <v>6</v>
      </c>
      <c r="O5" s="8">
        <f>IF($A5="","",SUMIFS('Player Game Log'!$G$4:$G$603,'Player Game Log'!$A$4:$A$603,A5))</f>
        <v>30</v>
      </c>
      <c r="P5" s="8">
        <f>IF($A5="","",SUMIFS('Player Game Log'!$H$4:$H$603,'Player Game Log'!$A$4:$A$603,A5))</f>
        <v>5</v>
      </c>
      <c r="Q5" s="8">
        <f>IF($A5="","",SUMIFS('Player Game Log'!$I$4:$I$603,'Player Game Log'!$A$4:$A$603,A5))</f>
        <v>25</v>
      </c>
      <c r="R5" s="8">
        <f>IF($A5="","",SUMIFS('Player Game Log'!$R$4:$R$603,'Player Game Log'!$A$4:$A$603,A5))</f>
        <v>11</v>
      </c>
      <c r="S5" s="8">
        <f>IF($A5="","",SUMIFS('Player Game Log'!$S$4:$S$603,'Player Game Log'!$A$4:$A$603,A5))</f>
        <v>55</v>
      </c>
      <c r="T5" s="8">
        <f>IF($A5="","",SUMIFS('Player Game Log'!$J$4:$J$603,'Player Game Log'!$A$4:$A$603,A5))</f>
        <v>6</v>
      </c>
      <c r="U5" s="8">
        <f>IF($A5="","",SUMIFS('Player Game Log'!$K$4:$K$603,'Player Game Log'!$A$4:$A$603,A5))</f>
        <v>18</v>
      </c>
      <c r="V5" s="8">
        <f>IF($A5="","",SUMIFS('Player Game Log'!$L$4:$L$603,'Player Game Log'!$A$4:$A$603,A5))</f>
        <v>19</v>
      </c>
      <c r="W5" s="8">
        <f>IF($A5="","",SUMIFS('Player Game Log'!$M$4:$M$603,'Player Game Log'!$A$4:$A$603,A5))</f>
        <v>13</v>
      </c>
      <c r="X5" s="8">
        <f>IF($A5="","",SUMIFS('Player Game Log'!$N$4:$N$603,'Player Game Log'!$A$4:$A$603,A5))</f>
        <v>7</v>
      </c>
      <c r="Y5" s="8">
        <f>IF($A5="","",SUMIFS('Player Game Log'!$O$4:$O$603,'Player Game Log'!$A$4:$A$603,A5))</f>
        <v>10</v>
      </c>
      <c r="Z5" s="8">
        <f>IF($A5="","",SUMIFS('Player Game Log'!$P$4:$P$603,'Player Game Log'!$A$4:$A$603,A5))</f>
        <v>10</v>
      </c>
      <c r="AA5" s="8">
        <f>IF($A5="","",SUMIFS('Player Game Log'!$Q$4:$Q$603,'Player Game Log'!$A$4:$A$603,A5))</f>
        <v>2</v>
      </c>
      <c r="AB5" s="8">
        <f>IF($A5="","",COUNTIFS('Player Game Log'!$A$4:$A$603,A5))</f>
        <v>9</v>
      </c>
      <c r="AC5" s="10" t="str">
        <f>IF($A5="","",IF(COUNTIFS('Player Game Log'!$A$4:$A$603,A5)&gt;0,"Yes","No"))</f>
        <v>Yes</v>
      </c>
    </row>
    <row r="6" spans="1:29" ht="15" customHeight="1">
      <c r="A6" s="4">
        <v>3</v>
      </c>
      <c r="B6" s="15">
        <v>46237</v>
      </c>
      <c r="C6" s="4" t="s">
        <v>113</v>
      </c>
      <c r="D6" s="7">
        <v>20</v>
      </c>
      <c r="E6" s="7">
        <v>41</v>
      </c>
      <c r="F6" s="7">
        <v>21</v>
      </c>
      <c r="G6" s="7">
        <v>38</v>
      </c>
      <c r="H6" s="8">
        <f t="shared" si="0"/>
        <v>20</v>
      </c>
      <c r="I6" s="8">
        <f t="shared" si="1"/>
        <v>21</v>
      </c>
      <c r="J6" s="8">
        <f t="shared" si="2"/>
        <v>21</v>
      </c>
      <c r="K6" s="8">
        <f t="shared" si="3"/>
        <v>17</v>
      </c>
      <c r="L6" s="10" t="str">
        <f t="shared" si="4"/>
        <v>W</v>
      </c>
      <c r="M6" s="8">
        <f t="shared" si="5"/>
        <v>3</v>
      </c>
      <c r="N6" s="8">
        <f>IF($A6="","",SUMIFS('Player Game Log'!$F$4:$F$603,'Player Game Log'!$A$4:$A$603,A6))</f>
        <v>12</v>
      </c>
      <c r="O6" s="8">
        <f>IF($A6="","",SUMIFS('Player Game Log'!$G$4:$G$603,'Player Game Log'!$A$4:$A$603,A6))</f>
        <v>34</v>
      </c>
      <c r="P6" s="8">
        <f>IF($A6="","",SUMIFS('Player Game Log'!$H$4:$H$603,'Player Game Log'!$A$4:$A$603,A6))</f>
        <v>4</v>
      </c>
      <c r="Q6" s="8">
        <f>IF($A6="","",SUMIFS('Player Game Log'!$I$4:$I$603,'Player Game Log'!$A$4:$A$603,A6))</f>
        <v>21</v>
      </c>
      <c r="R6" s="8">
        <f>IF($A6="","",SUMIFS('Player Game Log'!$R$4:$R$603,'Player Game Log'!$A$4:$A$603,A6))</f>
        <v>16</v>
      </c>
      <c r="S6" s="8">
        <f>IF($A6="","",SUMIFS('Player Game Log'!$S$4:$S$603,'Player Game Log'!$A$4:$A$603,A6))</f>
        <v>55</v>
      </c>
      <c r="T6" s="8">
        <f>IF($A6="","",SUMIFS('Player Game Log'!$J$4:$J$603,'Player Game Log'!$A$4:$A$603,A6))</f>
        <v>5</v>
      </c>
      <c r="U6" s="8">
        <f>IF($A6="","",SUMIFS('Player Game Log'!$K$4:$K$603,'Player Game Log'!$A$4:$A$603,A6))</f>
        <v>12</v>
      </c>
      <c r="V6" s="8">
        <f>IF($A6="","",SUMIFS('Player Game Log'!$L$4:$L$603,'Player Game Log'!$A$4:$A$603,A6))</f>
        <v>33</v>
      </c>
      <c r="W6" s="8">
        <f>IF($A6="","",SUMIFS('Player Game Log'!$M$4:$M$603,'Player Game Log'!$A$4:$A$603,A6))</f>
        <v>11</v>
      </c>
      <c r="X6" s="8">
        <f>IF($A6="","",SUMIFS('Player Game Log'!$N$4:$N$603,'Player Game Log'!$A$4:$A$603,A6))</f>
        <v>6</v>
      </c>
      <c r="Y6" s="8">
        <f>IF($A6="","",SUMIFS('Player Game Log'!$O$4:$O$603,'Player Game Log'!$A$4:$A$603,A6))</f>
        <v>20</v>
      </c>
      <c r="Z6" s="8">
        <f>IF($A6="","",SUMIFS('Player Game Log'!$P$4:$P$603,'Player Game Log'!$A$4:$A$603,A6))</f>
        <v>6</v>
      </c>
      <c r="AA6" s="8">
        <f>IF($A6="","",SUMIFS('Player Game Log'!$Q$4:$Q$603,'Player Game Log'!$A$4:$A$603,A6))</f>
        <v>6</v>
      </c>
      <c r="AB6" s="8">
        <f>IF($A6="","",COUNTIFS('Player Game Log'!$A$4:$A$603,A6))</f>
        <v>12</v>
      </c>
      <c r="AC6" s="10" t="str">
        <f>IF($A6="","",IF(COUNTIFS('Player Game Log'!$A$4:$A$603,A6)&gt;0,"Yes","No"))</f>
        <v>Yes</v>
      </c>
    </row>
    <row r="7" spans="1:29" ht="15" customHeight="1">
      <c r="A7" s="4"/>
      <c r="B7" s="15"/>
      <c r="C7" s="4"/>
      <c r="D7" s="7"/>
      <c r="E7" s="7"/>
      <c r="F7" s="7"/>
      <c r="G7" s="7"/>
      <c r="H7" s="8" t="str">
        <f t="shared" si="0"/>
        <v/>
      </c>
      <c r="I7" s="8" t="str">
        <f t="shared" si="1"/>
        <v/>
      </c>
      <c r="J7" s="8" t="str">
        <f t="shared" si="2"/>
        <v/>
      </c>
      <c r="K7" s="8" t="str">
        <f t="shared" si="3"/>
        <v/>
      </c>
      <c r="L7" s="10" t="str">
        <f t="shared" si="4"/>
        <v/>
      </c>
      <c r="M7" s="8" t="str">
        <f t="shared" si="5"/>
        <v/>
      </c>
      <c r="N7" s="8" t="str">
        <f>IF($A7="","",SUMIFS('Player Game Log'!$F$4:$F$603,'Player Game Log'!$A$4:$A$603,A7))</f>
        <v/>
      </c>
      <c r="O7" s="8" t="str">
        <f>IF($A7="","",SUMIFS('Player Game Log'!$G$4:$G$603,'Player Game Log'!$A$4:$A$603,A7))</f>
        <v/>
      </c>
      <c r="P7" s="8" t="str">
        <f>IF($A7="","",SUMIFS('Player Game Log'!$H$4:$H$603,'Player Game Log'!$A$4:$A$603,A7))</f>
        <v/>
      </c>
      <c r="Q7" s="8" t="str">
        <f>IF($A7="","",SUMIFS('Player Game Log'!$I$4:$I$603,'Player Game Log'!$A$4:$A$603,A7))</f>
        <v/>
      </c>
      <c r="R7" s="8" t="str">
        <f>IF($A7="","",SUMIFS('Player Game Log'!$R$4:$R$603,'Player Game Log'!$A$4:$A$603,A7))</f>
        <v/>
      </c>
      <c r="S7" s="8" t="str">
        <f>IF($A7="","",SUMIFS('Player Game Log'!$S$4:$S$603,'Player Game Log'!$A$4:$A$603,A7))</f>
        <v/>
      </c>
      <c r="T7" s="8" t="str">
        <f>IF($A7="","",SUMIFS('Player Game Log'!$J$4:$J$603,'Player Game Log'!$A$4:$A$603,A7))</f>
        <v/>
      </c>
      <c r="U7" s="8" t="str">
        <f>IF($A7="","",SUMIFS('Player Game Log'!$K$4:$K$603,'Player Game Log'!$A$4:$A$603,A7))</f>
        <v/>
      </c>
      <c r="V7" s="8" t="str">
        <f>IF($A7="","",SUMIFS('Player Game Log'!$L$4:$L$603,'Player Game Log'!$A$4:$A$603,A7))</f>
        <v/>
      </c>
      <c r="W7" s="8" t="str">
        <f>IF($A7="","",SUMIFS('Player Game Log'!$M$4:$M$603,'Player Game Log'!$A$4:$A$603,A7))</f>
        <v/>
      </c>
      <c r="X7" s="8" t="str">
        <f>IF($A7="","",SUMIFS('Player Game Log'!$N$4:$N$603,'Player Game Log'!$A$4:$A$603,A7))</f>
        <v/>
      </c>
      <c r="Y7" s="8" t="str">
        <f>IF($A7="","",SUMIFS('Player Game Log'!$O$4:$O$603,'Player Game Log'!$A$4:$A$603,A7))</f>
        <v/>
      </c>
      <c r="Z7" s="8" t="str">
        <f>IF($A7="","",SUMIFS('Player Game Log'!$P$4:$P$603,'Player Game Log'!$A$4:$A$603,A7))</f>
        <v/>
      </c>
      <c r="AA7" s="8" t="str">
        <f>IF($A7="","",SUMIFS('Player Game Log'!$Q$4:$Q$603,'Player Game Log'!$A$4:$A$603,A7))</f>
        <v/>
      </c>
      <c r="AB7" s="8" t="str">
        <f>IF($A7="","",COUNTIFS('Player Game Log'!$A$4:$A$603,A7))</f>
        <v/>
      </c>
      <c r="AC7" s="10" t="str">
        <f>IF($A7="","",IF(COUNTIFS('Player Game Log'!$A$4:$A$603,A7)&gt;0,"Yes","No"))</f>
        <v/>
      </c>
    </row>
    <row r="8" spans="1:29" ht="15" customHeight="1">
      <c r="A8" s="4"/>
      <c r="B8" s="15"/>
      <c r="C8" s="4"/>
      <c r="D8" s="7"/>
      <c r="E8" s="7"/>
      <c r="F8" s="7"/>
      <c r="G8" s="7"/>
      <c r="H8" s="8" t="str">
        <f t="shared" si="0"/>
        <v/>
      </c>
      <c r="I8" s="8" t="str">
        <f t="shared" si="1"/>
        <v/>
      </c>
      <c r="J8" s="8" t="str">
        <f t="shared" si="2"/>
        <v/>
      </c>
      <c r="K8" s="8" t="str">
        <f t="shared" si="3"/>
        <v/>
      </c>
      <c r="L8" s="10" t="str">
        <f t="shared" si="4"/>
        <v/>
      </c>
      <c r="M8" s="8" t="str">
        <f t="shared" si="5"/>
        <v/>
      </c>
      <c r="N8" s="8" t="str">
        <f>IF($A8="","",SUMIFS('Player Game Log'!$F$4:$F$603,'Player Game Log'!$A$4:$A$603,A8))</f>
        <v/>
      </c>
      <c r="O8" s="8" t="str">
        <f>IF($A8="","",SUMIFS('Player Game Log'!$G$4:$G$603,'Player Game Log'!$A$4:$A$603,A8))</f>
        <v/>
      </c>
      <c r="P8" s="8" t="str">
        <f>IF($A8="","",SUMIFS('Player Game Log'!$H$4:$H$603,'Player Game Log'!$A$4:$A$603,A8))</f>
        <v/>
      </c>
      <c r="Q8" s="8" t="str">
        <f>IF($A8="","",SUMIFS('Player Game Log'!$I$4:$I$603,'Player Game Log'!$A$4:$A$603,A8))</f>
        <v/>
      </c>
      <c r="R8" s="8" t="str">
        <f>IF($A8="","",SUMIFS('Player Game Log'!$R$4:$R$603,'Player Game Log'!$A$4:$A$603,A8))</f>
        <v/>
      </c>
      <c r="S8" s="8" t="str">
        <f>IF($A8="","",SUMIFS('Player Game Log'!$S$4:$S$603,'Player Game Log'!$A$4:$A$603,A8))</f>
        <v/>
      </c>
      <c r="T8" s="8" t="str">
        <f>IF($A8="","",SUMIFS('Player Game Log'!$J$4:$J$603,'Player Game Log'!$A$4:$A$603,A8))</f>
        <v/>
      </c>
      <c r="U8" s="8" t="str">
        <f>IF($A8="","",SUMIFS('Player Game Log'!$K$4:$K$603,'Player Game Log'!$A$4:$A$603,A8))</f>
        <v/>
      </c>
      <c r="V8" s="8" t="str">
        <f>IF($A8="","",SUMIFS('Player Game Log'!$L$4:$L$603,'Player Game Log'!$A$4:$A$603,A8))</f>
        <v/>
      </c>
      <c r="W8" s="8" t="str">
        <f>IF($A8="","",SUMIFS('Player Game Log'!$M$4:$M$603,'Player Game Log'!$A$4:$A$603,A8))</f>
        <v/>
      </c>
      <c r="X8" s="8" t="str">
        <f>IF($A8="","",SUMIFS('Player Game Log'!$N$4:$N$603,'Player Game Log'!$A$4:$A$603,A8))</f>
        <v/>
      </c>
      <c r="Y8" s="8" t="str">
        <f>IF($A8="","",SUMIFS('Player Game Log'!$O$4:$O$603,'Player Game Log'!$A$4:$A$603,A8))</f>
        <v/>
      </c>
      <c r="Z8" s="8" t="str">
        <f>IF($A8="","",SUMIFS('Player Game Log'!$P$4:$P$603,'Player Game Log'!$A$4:$A$603,A8))</f>
        <v/>
      </c>
      <c r="AA8" s="8" t="str">
        <f>IF($A8="","",SUMIFS('Player Game Log'!$Q$4:$Q$603,'Player Game Log'!$A$4:$A$603,A8))</f>
        <v/>
      </c>
      <c r="AB8" s="8" t="str">
        <f>IF($A8="","",COUNTIFS('Player Game Log'!$A$4:$A$603,A8))</f>
        <v/>
      </c>
      <c r="AC8" s="10" t="str">
        <f>IF($A8="","",IF(COUNTIFS('Player Game Log'!$A$4:$A$603,A8)&gt;0,"Yes","No"))</f>
        <v/>
      </c>
    </row>
    <row r="9" spans="1:29" ht="15" customHeight="1">
      <c r="A9" s="4"/>
      <c r="B9" s="15"/>
      <c r="C9" s="4"/>
      <c r="D9" s="7"/>
      <c r="E9" s="7"/>
      <c r="F9" s="7"/>
      <c r="G9" s="7"/>
      <c r="H9" s="8" t="str">
        <f t="shared" si="0"/>
        <v/>
      </c>
      <c r="I9" s="8" t="str">
        <f t="shared" si="1"/>
        <v/>
      </c>
      <c r="J9" s="8" t="str">
        <f t="shared" si="2"/>
        <v/>
      </c>
      <c r="K9" s="8" t="str">
        <f t="shared" si="3"/>
        <v/>
      </c>
      <c r="L9" s="10" t="str">
        <f t="shared" si="4"/>
        <v/>
      </c>
      <c r="M9" s="8" t="str">
        <f t="shared" si="5"/>
        <v/>
      </c>
      <c r="N9" s="8" t="str">
        <f>IF($A9="","",SUMIFS('Player Game Log'!$F$4:$F$603,'Player Game Log'!$A$4:$A$603,A9))</f>
        <v/>
      </c>
      <c r="O9" s="8" t="str">
        <f>IF($A9="","",SUMIFS('Player Game Log'!$G$4:$G$603,'Player Game Log'!$A$4:$A$603,A9))</f>
        <v/>
      </c>
      <c r="P9" s="8" t="str">
        <f>IF($A9="","",SUMIFS('Player Game Log'!$H$4:$H$603,'Player Game Log'!$A$4:$A$603,A9))</f>
        <v/>
      </c>
      <c r="Q9" s="8" t="str">
        <f>IF($A9="","",SUMIFS('Player Game Log'!$I$4:$I$603,'Player Game Log'!$A$4:$A$603,A9))</f>
        <v/>
      </c>
      <c r="R9" s="8" t="str">
        <f>IF($A9="","",SUMIFS('Player Game Log'!$R$4:$R$603,'Player Game Log'!$A$4:$A$603,A9))</f>
        <v/>
      </c>
      <c r="S9" s="8" t="str">
        <f>IF($A9="","",SUMIFS('Player Game Log'!$S$4:$S$603,'Player Game Log'!$A$4:$A$603,A9))</f>
        <v/>
      </c>
      <c r="T9" s="8" t="str">
        <f>IF($A9="","",SUMIFS('Player Game Log'!$J$4:$J$603,'Player Game Log'!$A$4:$A$603,A9))</f>
        <v/>
      </c>
      <c r="U9" s="8" t="str">
        <f>IF($A9="","",SUMIFS('Player Game Log'!$K$4:$K$603,'Player Game Log'!$A$4:$A$603,A9))</f>
        <v/>
      </c>
      <c r="V9" s="8" t="str">
        <f>IF($A9="","",SUMIFS('Player Game Log'!$L$4:$L$603,'Player Game Log'!$A$4:$A$603,A9))</f>
        <v/>
      </c>
      <c r="W9" s="8" t="str">
        <f>IF($A9="","",SUMIFS('Player Game Log'!$M$4:$M$603,'Player Game Log'!$A$4:$A$603,A9))</f>
        <v/>
      </c>
      <c r="X9" s="8" t="str">
        <f>IF($A9="","",SUMIFS('Player Game Log'!$N$4:$N$603,'Player Game Log'!$A$4:$A$603,A9))</f>
        <v/>
      </c>
      <c r="Y9" s="8" t="str">
        <f>IF($A9="","",SUMIFS('Player Game Log'!$O$4:$O$603,'Player Game Log'!$A$4:$A$603,A9))</f>
        <v/>
      </c>
      <c r="Z9" s="8" t="str">
        <f>IF($A9="","",SUMIFS('Player Game Log'!$P$4:$P$603,'Player Game Log'!$A$4:$A$603,A9))</f>
        <v/>
      </c>
      <c r="AA9" s="8" t="str">
        <f>IF($A9="","",SUMIFS('Player Game Log'!$Q$4:$Q$603,'Player Game Log'!$A$4:$A$603,A9))</f>
        <v/>
      </c>
      <c r="AB9" s="8" t="str">
        <f>IF($A9="","",COUNTIFS('Player Game Log'!$A$4:$A$603,A9))</f>
        <v/>
      </c>
      <c r="AC9" s="10" t="str">
        <f>IF($A9="","",IF(COUNTIFS('Player Game Log'!$A$4:$A$603,A9)&gt;0,"Yes","No"))</f>
        <v/>
      </c>
    </row>
    <row r="10" spans="1:29" ht="15" customHeight="1">
      <c r="A10" s="4"/>
      <c r="B10" s="15"/>
      <c r="C10" s="4"/>
      <c r="D10" s="7"/>
      <c r="E10" s="7"/>
      <c r="F10" s="7"/>
      <c r="G10" s="7"/>
      <c r="H10" s="8" t="str">
        <f t="shared" si="0"/>
        <v/>
      </c>
      <c r="I10" s="8" t="str">
        <f t="shared" si="1"/>
        <v/>
      </c>
      <c r="J10" s="8" t="str">
        <f t="shared" si="2"/>
        <v/>
      </c>
      <c r="K10" s="8" t="str">
        <f t="shared" si="3"/>
        <v/>
      </c>
      <c r="L10" s="10" t="str">
        <f t="shared" si="4"/>
        <v/>
      </c>
      <c r="M10" s="8" t="str">
        <f t="shared" si="5"/>
        <v/>
      </c>
      <c r="N10" s="8" t="str">
        <f>IF($A10="","",SUMIFS('Player Game Log'!$F$4:$F$603,'Player Game Log'!$A$4:$A$603,A10))</f>
        <v/>
      </c>
      <c r="O10" s="8" t="str">
        <f>IF($A10="","",SUMIFS('Player Game Log'!$G$4:$G$603,'Player Game Log'!$A$4:$A$603,A10))</f>
        <v/>
      </c>
      <c r="P10" s="8" t="str">
        <f>IF($A10="","",SUMIFS('Player Game Log'!$H$4:$H$603,'Player Game Log'!$A$4:$A$603,A10))</f>
        <v/>
      </c>
      <c r="Q10" s="8" t="str">
        <f>IF($A10="","",SUMIFS('Player Game Log'!$I$4:$I$603,'Player Game Log'!$A$4:$A$603,A10))</f>
        <v/>
      </c>
      <c r="R10" s="8" t="str">
        <f>IF($A10="","",SUMIFS('Player Game Log'!$R$4:$R$603,'Player Game Log'!$A$4:$A$603,A10))</f>
        <v/>
      </c>
      <c r="S10" s="8" t="str">
        <f>IF($A10="","",SUMIFS('Player Game Log'!$S$4:$S$603,'Player Game Log'!$A$4:$A$603,A10))</f>
        <v/>
      </c>
      <c r="T10" s="8" t="str">
        <f>IF($A10="","",SUMIFS('Player Game Log'!$J$4:$J$603,'Player Game Log'!$A$4:$A$603,A10))</f>
        <v/>
      </c>
      <c r="U10" s="8" t="str">
        <f>IF($A10="","",SUMIFS('Player Game Log'!$K$4:$K$603,'Player Game Log'!$A$4:$A$603,A10))</f>
        <v/>
      </c>
      <c r="V10" s="8" t="str">
        <f>IF($A10="","",SUMIFS('Player Game Log'!$L$4:$L$603,'Player Game Log'!$A$4:$A$603,A10))</f>
        <v/>
      </c>
      <c r="W10" s="8" t="str">
        <f>IF($A10="","",SUMIFS('Player Game Log'!$M$4:$M$603,'Player Game Log'!$A$4:$A$603,A10))</f>
        <v/>
      </c>
      <c r="X10" s="8" t="str">
        <f>IF($A10="","",SUMIFS('Player Game Log'!$N$4:$N$603,'Player Game Log'!$A$4:$A$603,A10))</f>
        <v/>
      </c>
      <c r="Y10" s="8" t="str">
        <f>IF($A10="","",SUMIFS('Player Game Log'!$O$4:$O$603,'Player Game Log'!$A$4:$A$603,A10))</f>
        <v/>
      </c>
      <c r="Z10" s="8" t="str">
        <f>IF($A10="","",SUMIFS('Player Game Log'!$P$4:$P$603,'Player Game Log'!$A$4:$A$603,A10))</f>
        <v/>
      </c>
      <c r="AA10" s="8" t="str">
        <f>IF($A10="","",SUMIFS('Player Game Log'!$Q$4:$Q$603,'Player Game Log'!$A$4:$A$603,A10))</f>
        <v/>
      </c>
      <c r="AB10" s="8" t="str">
        <f>IF($A10="","",COUNTIFS('Player Game Log'!$A$4:$A$603,A10))</f>
        <v/>
      </c>
      <c r="AC10" s="10" t="str">
        <f>IF($A10="","",IF(COUNTIFS('Player Game Log'!$A$4:$A$603,A10)&gt;0,"Yes","No"))</f>
        <v/>
      </c>
    </row>
    <row r="11" spans="1:29" ht="15" customHeight="1">
      <c r="A11" s="4"/>
      <c r="B11" s="15"/>
      <c r="C11" s="4"/>
      <c r="D11" s="7"/>
      <c r="E11" s="7"/>
      <c r="F11" s="7"/>
      <c r="G11" s="7"/>
      <c r="H11" s="8" t="str">
        <f t="shared" si="0"/>
        <v/>
      </c>
      <c r="I11" s="8" t="str">
        <f t="shared" si="1"/>
        <v/>
      </c>
      <c r="J11" s="8" t="str">
        <f t="shared" si="2"/>
        <v/>
      </c>
      <c r="K11" s="8" t="str">
        <f t="shared" si="3"/>
        <v/>
      </c>
      <c r="L11" s="10" t="str">
        <f t="shared" si="4"/>
        <v/>
      </c>
      <c r="M11" s="8" t="str">
        <f t="shared" si="5"/>
        <v/>
      </c>
      <c r="N11" s="8" t="str">
        <f>IF($A11="","",SUMIFS('Player Game Log'!$F$4:$F$603,'Player Game Log'!$A$4:$A$603,A11))</f>
        <v/>
      </c>
      <c r="O11" s="8" t="str">
        <f>IF($A11="","",SUMIFS('Player Game Log'!$G$4:$G$603,'Player Game Log'!$A$4:$A$603,A11))</f>
        <v/>
      </c>
      <c r="P11" s="8" t="str">
        <f>IF($A11="","",SUMIFS('Player Game Log'!$H$4:$H$603,'Player Game Log'!$A$4:$A$603,A11))</f>
        <v/>
      </c>
      <c r="Q11" s="8" t="str">
        <f>IF($A11="","",SUMIFS('Player Game Log'!$I$4:$I$603,'Player Game Log'!$A$4:$A$603,A11))</f>
        <v/>
      </c>
      <c r="R11" s="8" t="str">
        <f>IF($A11="","",SUMIFS('Player Game Log'!$R$4:$R$603,'Player Game Log'!$A$4:$A$603,A11))</f>
        <v/>
      </c>
      <c r="S11" s="8" t="str">
        <f>IF($A11="","",SUMIFS('Player Game Log'!$S$4:$S$603,'Player Game Log'!$A$4:$A$603,A11))</f>
        <v/>
      </c>
      <c r="T11" s="8" t="str">
        <f>IF($A11="","",SUMIFS('Player Game Log'!$J$4:$J$603,'Player Game Log'!$A$4:$A$603,A11))</f>
        <v/>
      </c>
      <c r="U11" s="8" t="str">
        <f>IF($A11="","",SUMIFS('Player Game Log'!$K$4:$K$603,'Player Game Log'!$A$4:$A$603,A11))</f>
        <v/>
      </c>
      <c r="V11" s="8" t="str">
        <f>IF($A11="","",SUMIFS('Player Game Log'!$L$4:$L$603,'Player Game Log'!$A$4:$A$603,A11))</f>
        <v/>
      </c>
      <c r="W11" s="8" t="str">
        <f>IF($A11="","",SUMIFS('Player Game Log'!$M$4:$M$603,'Player Game Log'!$A$4:$A$603,A11))</f>
        <v/>
      </c>
      <c r="X11" s="8" t="str">
        <f>IF($A11="","",SUMIFS('Player Game Log'!$N$4:$N$603,'Player Game Log'!$A$4:$A$603,A11))</f>
        <v/>
      </c>
      <c r="Y11" s="8" t="str">
        <f>IF($A11="","",SUMIFS('Player Game Log'!$O$4:$O$603,'Player Game Log'!$A$4:$A$603,A11))</f>
        <v/>
      </c>
      <c r="Z11" s="8" t="str">
        <f>IF($A11="","",SUMIFS('Player Game Log'!$P$4:$P$603,'Player Game Log'!$A$4:$A$603,A11))</f>
        <v/>
      </c>
      <c r="AA11" s="8" t="str">
        <f>IF($A11="","",SUMIFS('Player Game Log'!$Q$4:$Q$603,'Player Game Log'!$A$4:$A$603,A11))</f>
        <v/>
      </c>
      <c r="AB11" s="8" t="str">
        <f>IF($A11="","",COUNTIFS('Player Game Log'!$A$4:$A$603,A11))</f>
        <v/>
      </c>
      <c r="AC11" s="10" t="str">
        <f>IF($A11="","",IF(COUNTIFS('Player Game Log'!$A$4:$A$603,A11)&gt;0,"Yes","No"))</f>
        <v/>
      </c>
    </row>
    <row r="12" spans="1:29" ht="15" customHeight="1">
      <c r="A12" s="4"/>
      <c r="B12" s="15"/>
      <c r="C12" s="4"/>
      <c r="D12" s="7"/>
      <c r="E12" s="7"/>
      <c r="F12" s="7"/>
      <c r="G12" s="7"/>
      <c r="H12" s="8" t="str">
        <f t="shared" si="0"/>
        <v/>
      </c>
      <c r="I12" s="8" t="str">
        <f t="shared" si="1"/>
        <v/>
      </c>
      <c r="J12" s="8" t="str">
        <f t="shared" si="2"/>
        <v/>
      </c>
      <c r="K12" s="8" t="str">
        <f t="shared" si="3"/>
        <v/>
      </c>
      <c r="L12" s="10" t="str">
        <f t="shared" si="4"/>
        <v/>
      </c>
      <c r="M12" s="8" t="str">
        <f t="shared" si="5"/>
        <v/>
      </c>
      <c r="N12" s="8" t="str">
        <f>IF($A12="","",SUMIFS('Player Game Log'!$F$4:$F$603,'Player Game Log'!$A$4:$A$603,A12))</f>
        <v/>
      </c>
      <c r="O12" s="8" t="str">
        <f>IF($A12="","",SUMIFS('Player Game Log'!$G$4:$G$603,'Player Game Log'!$A$4:$A$603,A12))</f>
        <v/>
      </c>
      <c r="P12" s="8" t="str">
        <f>IF($A12="","",SUMIFS('Player Game Log'!$H$4:$H$603,'Player Game Log'!$A$4:$A$603,A12))</f>
        <v/>
      </c>
      <c r="Q12" s="8" t="str">
        <f>IF($A12="","",SUMIFS('Player Game Log'!$I$4:$I$603,'Player Game Log'!$A$4:$A$603,A12))</f>
        <v/>
      </c>
      <c r="R12" s="8" t="str">
        <f>IF($A12="","",SUMIFS('Player Game Log'!$R$4:$R$603,'Player Game Log'!$A$4:$A$603,A12))</f>
        <v/>
      </c>
      <c r="S12" s="8" t="str">
        <f>IF($A12="","",SUMIFS('Player Game Log'!$S$4:$S$603,'Player Game Log'!$A$4:$A$603,A12))</f>
        <v/>
      </c>
      <c r="T12" s="8" t="str">
        <f>IF($A12="","",SUMIFS('Player Game Log'!$J$4:$J$603,'Player Game Log'!$A$4:$A$603,A12))</f>
        <v/>
      </c>
      <c r="U12" s="8" t="str">
        <f>IF($A12="","",SUMIFS('Player Game Log'!$K$4:$K$603,'Player Game Log'!$A$4:$A$603,A12))</f>
        <v/>
      </c>
      <c r="V12" s="8" t="str">
        <f>IF($A12="","",SUMIFS('Player Game Log'!$L$4:$L$603,'Player Game Log'!$A$4:$A$603,A12))</f>
        <v/>
      </c>
      <c r="W12" s="8" t="str">
        <f>IF($A12="","",SUMIFS('Player Game Log'!$M$4:$M$603,'Player Game Log'!$A$4:$A$603,A12))</f>
        <v/>
      </c>
      <c r="X12" s="8" t="str">
        <f>IF($A12="","",SUMIFS('Player Game Log'!$N$4:$N$603,'Player Game Log'!$A$4:$A$603,A12))</f>
        <v/>
      </c>
      <c r="Y12" s="8" t="str">
        <f>IF($A12="","",SUMIFS('Player Game Log'!$O$4:$O$603,'Player Game Log'!$A$4:$A$603,A12))</f>
        <v/>
      </c>
      <c r="Z12" s="8" t="str">
        <f>IF($A12="","",SUMIFS('Player Game Log'!$P$4:$P$603,'Player Game Log'!$A$4:$A$603,A12))</f>
        <v/>
      </c>
      <c r="AA12" s="8" t="str">
        <f>IF($A12="","",SUMIFS('Player Game Log'!$Q$4:$Q$603,'Player Game Log'!$A$4:$A$603,A12))</f>
        <v/>
      </c>
      <c r="AB12" s="8" t="str">
        <f>IF($A12="","",COUNTIFS('Player Game Log'!$A$4:$A$603,A12))</f>
        <v/>
      </c>
      <c r="AC12" s="10" t="str">
        <f>IF($A12="","",IF(COUNTIFS('Player Game Log'!$A$4:$A$603,A12)&gt;0,"Yes","No"))</f>
        <v/>
      </c>
    </row>
    <row r="13" spans="1:29" ht="15" customHeight="1">
      <c r="A13" s="4"/>
      <c r="B13" s="15"/>
      <c r="C13" s="4"/>
      <c r="D13" s="7"/>
      <c r="E13" s="7"/>
      <c r="F13" s="7"/>
      <c r="G13" s="7"/>
      <c r="H13" s="8" t="str">
        <f t="shared" si="0"/>
        <v/>
      </c>
      <c r="I13" s="8" t="str">
        <f t="shared" si="1"/>
        <v/>
      </c>
      <c r="J13" s="8" t="str">
        <f t="shared" si="2"/>
        <v/>
      </c>
      <c r="K13" s="8" t="str">
        <f t="shared" si="3"/>
        <v/>
      </c>
      <c r="L13" s="10" t="str">
        <f t="shared" si="4"/>
        <v/>
      </c>
      <c r="M13" s="8" t="str">
        <f t="shared" si="5"/>
        <v/>
      </c>
      <c r="N13" s="8" t="str">
        <f>IF($A13="","",SUMIFS('Player Game Log'!$F$4:$F$603,'Player Game Log'!$A$4:$A$603,A13))</f>
        <v/>
      </c>
      <c r="O13" s="8" t="str">
        <f>IF($A13="","",SUMIFS('Player Game Log'!$G$4:$G$603,'Player Game Log'!$A$4:$A$603,A13))</f>
        <v/>
      </c>
      <c r="P13" s="8" t="str">
        <f>IF($A13="","",SUMIFS('Player Game Log'!$H$4:$H$603,'Player Game Log'!$A$4:$A$603,A13))</f>
        <v/>
      </c>
      <c r="Q13" s="8" t="str">
        <f>IF($A13="","",SUMIFS('Player Game Log'!$I$4:$I$603,'Player Game Log'!$A$4:$A$603,A13))</f>
        <v/>
      </c>
      <c r="R13" s="8" t="str">
        <f>IF($A13="","",SUMIFS('Player Game Log'!$R$4:$R$603,'Player Game Log'!$A$4:$A$603,A13))</f>
        <v/>
      </c>
      <c r="S13" s="8" t="str">
        <f>IF($A13="","",SUMIFS('Player Game Log'!$S$4:$S$603,'Player Game Log'!$A$4:$A$603,A13))</f>
        <v/>
      </c>
      <c r="T13" s="8" t="str">
        <f>IF($A13="","",SUMIFS('Player Game Log'!$J$4:$J$603,'Player Game Log'!$A$4:$A$603,A13))</f>
        <v/>
      </c>
      <c r="U13" s="8" t="str">
        <f>IF($A13="","",SUMIFS('Player Game Log'!$K$4:$K$603,'Player Game Log'!$A$4:$A$603,A13))</f>
        <v/>
      </c>
      <c r="V13" s="8" t="str">
        <f>IF($A13="","",SUMIFS('Player Game Log'!$L$4:$L$603,'Player Game Log'!$A$4:$A$603,A13))</f>
        <v/>
      </c>
      <c r="W13" s="8" t="str">
        <f>IF($A13="","",SUMIFS('Player Game Log'!$M$4:$M$603,'Player Game Log'!$A$4:$A$603,A13))</f>
        <v/>
      </c>
      <c r="X13" s="8" t="str">
        <f>IF($A13="","",SUMIFS('Player Game Log'!$N$4:$N$603,'Player Game Log'!$A$4:$A$603,A13))</f>
        <v/>
      </c>
      <c r="Y13" s="8" t="str">
        <f>IF($A13="","",SUMIFS('Player Game Log'!$O$4:$O$603,'Player Game Log'!$A$4:$A$603,A13))</f>
        <v/>
      </c>
      <c r="Z13" s="8" t="str">
        <f>IF($A13="","",SUMIFS('Player Game Log'!$P$4:$P$603,'Player Game Log'!$A$4:$A$603,A13))</f>
        <v/>
      </c>
      <c r="AA13" s="8" t="str">
        <f>IF($A13="","",SUMIFS('Player Game Log'!$Q$4:$Q$603,'Player Game Log'!$A$4:$A$603,A13))</f>
        <v/>
      </c>
      <c r="AB13" s="8" t="str">
        <f>IF($A13="","",COUNTIFS('Player Game Log'!$A$4:$A$603,A13))</f>
        <v/>
      </c>
      <c r="AC13" s="10" t="str">
        <f>IF($A13="","",IF(COUNTIFS('Player Game Log'!$A$4:$A$603,A13)&gt;0,"Yes","No"))</f>
        <v/>
      </c>
    </row>
    <row r="14" spans="1:29" ht="15" customHeight="1">
      <c r="A14" s="4"/>
      <c r="B14" s="15"/>
      <c r="C14" s="4"/>
      <c r="D14" s="7"/>
      <c r="E14" s="7"/>
      <c r="F14" s="7"/>
      <c r="G14" s="7"/>
      <c r="H14" s="8" t="str">
        <f t="shared" si="0"/>
        <v/>
      </c>
      <c r="I14" s="8" t="str">
        <f t="shared" si="1"/>
        <v/>
      </c>
      <c r="J14" s="8" t="str">
        <f t="shared" si="2"/>
        <v/>
      </c>
      <c r="K14" s="8" t="str">
        <f t="shared" si="3"/>
        <v/>
      </c>
      <c r="L14" s="10" t="str">
        <f t="shared" si="4"/>
        <v/>
      </c>
      <c r="M14" s="8" t="str">
        <f t="shared" si="5"/>
        <v/>
      </c>
      <c r="N14" s="8" t="str">
        <f>IF($A14="","",SUMIFS('Player Game Log'!$F$4:$F$603,'Player Game Log'!$A$4:$A$603,A14))</f>
        <v/>
      </c>
      <c r="O14" s="8" t="str">
        <f>IF($A14="","",SUMIFS('Player Game Log'!$G$4:$G$603,'Player Game Log'!$A$4:$A$603,A14))</f>
        <v/>
      </c>
      <c r="P14" s="8" t="str">
        <f>IF($A14="","",SUMIFS('Player Game Log'!$H$4:$H$603,'Player Game Log'!$A$4:$A$603,A14))</f>
        <v/>
      </c>
      <c r="Q14" s="8" t="str">
        <f>IF($A14="","",SUMIFS('Player Game Log'!$I$4:$I$603,'Player Game Log'!$A$4:$A$603,A14))</f>
        <v/>
      </c>
      <c r="R14" s="8" t="str">
        <f>IF($A14="","",SUMIFS('Player Game Log'!$R$4:$R$603,'Player Game Log'!$A$4:$A$603,A14))</f>
        <v/>
      </c>
      <c r="S14" s="8" t="str">
        <f>IF($A14="","",SUMIFS('Player Game Log'!$S$4:$S$603,'Player Game Log'!$A$4:$A$603,A14))</f>
        <v/>
      </c>
      <c r="T14" s="8" t="str">
        <f>IF($A14="","",SUMIFS('Player Game Log'!$J$4:$J$603,'Player Game Log'!$A$4:$A$603,A14))</f>
        <v/>
      </c>
      <c r="U14" s="8" t="str">
        <f>IF($A14="","",SUMIFS('Player Game Log'!$K$4:$K$603,'Player Game Log'!$A$4:$A$603,A14))</f>
        <v/>
      </c>
      <c r="V14" s="8" t="str">
        <f>IF($A14="","",SUMIFS('Player Game Log'!$L$4:$L$603,'Player Game Log'!$A$4:$A$603,A14))</f>
        <v/>
      </c>
      <c r="W14" s="8" t="str">
        <f>IF($A14="","",SUMIFS('Player Game Log'!$M$4:$M$603,'Player Game Log'!$A$4:$A$603,A14))</f>
        <v/>
      </c>
      <c r="X14" s="8" t="str">
        <f>IF($A14="","",SUMIFS('Player Game Log'!$N$4:$N$603,'Player Game Log'!$A$4:$A$603,A14))</f>
        <v/>
      </c>
      <c r="Y14" s="8" t="str">
        <f>IF($A14="","",SUMIFS('Player Game Log'!$O$4:$O$603,'Player Game Log'!$A$4:$A$603,A14))</f>
        <v/>
      </c>
      <c r="Z14" s="8" t="str">
        <f>IF($A14="","",SUMIFS('Player Game Log'!$P$4:$P$603,'Player Game Log'!$A$4:$A$603,A14))</f>
        <v/>
      </c>
      <c r="AA14" s="8" t="str">
        <f>IF($A14="","",SUMIFS('Player Game Log'!$Q$4:$Q$603,'Player Game Log'!$A$4:$A$603,A14))</f>
        <v/>
      </c>
      <c r="AB14" s="8" t="str">
        <f>IF($A14="","",COUNTIFS('Player Game Log'!$A$4:$A$603,A14))</f>
        <v/>
      </c>
      <c r="AC14" s="10" t="str">
        <f>IF($A14="","",IF(COUNTIFS('Player Game Log'!$A$4:$A$603,A14)&gt;0,"Yes","No"))</f>
        <v/>
      </c>
    </row>
    <row r="15" spans="1:29" ht="15" customHeight="1">
      <c r="A15" s="4"/>
      <c r="B15" s="15"/>
      <c r="C15" s="4"/>
      <c r="D15" s="7"/>
      <c r="E15" s="7"/>
      <c r="F15" s="7"/>
      <c r="G15" s="7"/>
      <c r="H15" s="8" t="str">
        <f t="shared" si="0"/>
        <v/>
      </c>
      <c r="I15" s="8" t="str">
        <f t="shared" si="1"/>
        <v/>
      </c>
      <c r="J15" s="8" t="str">
        <f t="shared" si="2"/>
        <v/>
      </c>
      <c r="K15" s="8" t="str">
        <f t="shared" si="3"/>
        <v/>
      </c>
      <c r="L15" s="10" t="str">
        <f t="shared" si="4"/>
        <v/>
      </c>
      <c r="M15" s="8" t="str">
        <f t="shared" si="5"/>
        <v/>
      </c>
      <c r="N15" s="8" t="str">
        <f>IF($A15="","",SUMIFS('Player Game Log'!$F$4:$F$603,'Player Game Log'!$A$4:$A$603,A15))</f>
        <v/>
      </c>
      <c r="O15" s="8" t="str">
        <f>IF($A15="","",SUMIFS('Player Game Log'!$G$4:$G$603,'Player Game Log'!$A$4:$A$603,A15))</f>
        <v/>
      </c>
      <c r="P15" s="8" t="str">
        <f>IF($A15="","",SUMIFS('Player Game Log'!$H$4:$H$603,'Player Game Log'!$A$4:$A$603,A15))</f>
        <v/>
      </c>
      <c r="Q15" s="8" t="str">
        <f>IF($A15="","",SUMIFS('Player Game Log'!$I$4:$I$603,'Player Game Log'!$A$4:$A$603,A15))</f>
        <v/>
      </c>
      <c r="R15" s="8" t="str">
        <f>IF($A15="","",SUMIFS('Player Game Log'!$R$4:$R$603,'Player Game Log'!$A$4:$A$603,A15))</f>
        <v/>
      </c>
      <c r="S15" s="8" t="str">
        <f>IF($A15="","",SUMIFS('Player Game Log'!$S$4:$S$603,'Player Game Log'!$A$4:$A$603,A15))</f>
        <v/>
      </c>
      <c r="T15" s="8" t="str">
        <f>IF($A15="","",SUMIFS('Player Game Log'!$J$4:$J$603,'Player Game Log'!$A$4:$A$603,A15))</f>
        <v/>
      </c>
      <c r="U15" s="8" t="str">
        <f>IF($A15="","",SUMIFS('Player Game Log'!$K$4:$K$603,'Player Game Log'!$A$4:$A$603,A15))</f>
        <v/>
      </c>
      <c r="V15" s="8" t="str">
        <f>IF($A15="","",SUMIFS('Player Game Log'!$L$4:$L$603,'Player Game Log'!$A$4:$A$603,A15))</f>
        <v/>
      </c>
      <c r="W15" s="8" t="str">
        <f>IF($A15="","",SUMIFS('Player Game Log'!$M$4:$M$603,'Player Game Log'!$A$4:$A$603,A15))</f>
        <v/>
      </c>
      <c r="X15" s="8" t="str">
        <f>IF($A15="","",SUMIFS('Player Game Log'!$N$4:$N$603,'Player Game Log'!$A$4:$A$603,A15))</f>
        <v/>
      </c>
      <c r="Y15" s="8" t="str">
        <f>IF($A15="","",SUMIFS('Player Game Log'!$O$4:$O$603,'Player Game Log'!$A$4:$A$603,A15))</f>
        <v/>
      </c>
      <c r="Z15" s="8" t="str">
        <f>IF($A15="","",SUMIFS('Player Game Log'!$P$4:$P$603,'Player Game Log'!$A$4:$A$603,A15))</f>
        <v/>
      </c>
      <c r="AA15" s="8" t="str">
        <f>IF($A15="","",SUMIFS('Player Game Log'!$Q$4:$Q$603,'Player Game Log'!$A$4:$A$603,A15))</f>
        <v/>
      </c>
      <c r="AB15" s="8" t="str">
        <f>IF($A15="","",COUNTIFS('Player Game Log'!$A$4:$A$603,A15))</f>
        <v/>
      </c>
      <c r="AC15" s="10" t="str">
        <f>IF($A15="","",IF(COUNTIFS('Player Game Log'!$A$4:$A$603,A15)&gt;0,"Yes","No"))</f>
        <v/>
      </c>
    </row>
    <row r="16" spans="1:29" ht="15" customHeight="1">
      <c r="A16" s="4"/>
      <c r="B16" s="15"/>
      <c r="C16" s="4"/>
      <c r="D16" s="7"/>
      <c r="E16" s="7"/>
      <c r="F16" s="7"/>
      <c r="G16" s="7"/>
      <c r="H16" s="8" t="str">
        <f t="shared" si="0"/>
        <v/>
      </c>
      <c r="I16" s="8" t="str">
        <f t="shared" si="1"/>
        <v/>
      </c>
      <c r="J16" s="8" t="str">
        <f t="shared" si="2"/>
        <v/>
      </c>
      <c r="K16" s="8" t="str">
        <f t="shared" si="3"/>
        <v/>
      </c>
      <c r="L16" s="10" t="str">
        <f t="shared" si="4"/>
        <v/>
      </c>
      <c r="M16" s="8" t="str">
        <f t="shared" si="5"/>
        <v/>
      </c>
      <c r="N16" s="8" t="str">
        <f>IF($A16="","",SUMIFS('Player Game Log'!$F$4:$F$603,'Player Game Log'!$A$4:$A$603,A16))</f>
        <v/>
      </c>
      <c r="O16" s="8" t="str">
        <f>IF($A16="","",SUMIFS('Player Game Log'!$G$4:$G$603,'Player Game Log'!$A$4:$A$603,A16))</f>
        <v/>
      </c>
      <c r="P16" s="8" t="str">
        <f>IF($A16="","",SUMIFS('Player Game Log'!$H$4:$H$603,'Player Game Log'!$A$4:$A$603,A16))</f>
        <v/>
      </c>
      <c r="Q16" s="8" t="str">
        <f>IF($A16="","",SUMIFS('Player Game Log'!$I$4:$I$603,'Player Game Log'!$A$4:$A$603,A16))</f>
        <v/>
      </c>
      <c r="R16" s="8" t="str">
        <f>IF($A16="","",SUMIFS('Player Game Log'!$R$4:$R$603,'Player Game Log'!$A$4:$A$603,A16))</f>
        <v/>
      </c>
      <c r="S16" s="8" t="str">
        <f>IF($A16="","",SUMIFS('Player Game Log'!$S$4:$S$603,'Player Game Log'!$A$4:$A$603,A16))</f>
        <v/>
      </c>
      <c r="T16" s="8" t="str">
        <f>IF($A16="","",SUMIFS('Player Game Log'!$J$4:$J$603,'Player Game Log'!$A$4:$A$603,A16))</f>
        <v/>
      </c>
      <c r="U16" s="8" t="str">
        <f>IF($A16="","",SUMIFS('Player Game Log'!$K$4:$K$603,'Player Game Log'!$A$4:$A$603,A16))</f>
        <v/>
      </c>
      <c r="V16" s="8" t="str">
        <f>IF($A16="","",SUMIFS('Player Game Log'!$L$4:$L$603,'Player Game Log'!$A$4:$A$603,A16))</f>
        <v/>
      </c>
      <c r="W16" s="8" t="str">
        <f>IF($A16="","",SUMIFS('Player Game Log'!$M$4:$M$603,'Player Game Log'!$A$4:$A$603,A16))</f>
        <v/>
      </c>
      <c r="X16" s="8" t="str">
        <f>IF($A16="","",SUMIFS('Player Game Log'!$N$4:$N$603,'Player Game Log'!$A$4:$A$603,A16))</f>
        <v/>
      </c>
      <c r="Y16" s="8" t="str">
        <f>IF($A16="","",SUMIFS('Player Game Log'!$O$4:$O$603,'Player Game Log'!$A$4:$A$603,A16))</f>
        <v/>
      </c>
      <c r="Z16" s="8" t="str">
        <f>IF($A16="","",SUMIFS('Player Game Log'!$P$4:$P$603,'Player Game Log'!$A$4:$A$603,A16))</f>
        <v/>
      </c>
      <c r="AA16" s="8" t="str">
        <f>IF($A16="","",SUMIFS('Player Game Log'!$Q$4:$Q$603,'Player Game Log'!$A$4:$A$603,A16))</f>
        <v/>
      </c>
      <c r="AB16" s="8" t="str">
        <f>IF($A16="","",COUNTIFS('Player Game Log'!$A$4:$A$603,A16))</f>
        <v/>
      </c>
      <c r="AC16" s="10" t="str">
        <f>IF($A16="","",IF(COUNTIFS('Player Game Log'!$A$4:$A$603,A16)&gt;0,"Yes","No"))</f>
        <v/>
      </c>
    </row>
    <row r="17" spans="1:29" ht="15" customHeight="1">
      <c r="A17" s="4"/>
      <c r="B17" s="15"/>
      <c r="C17" s="4"/>
      <c r="D17" s="7"/>
      <c r="E17" s="7"/>
      <c r="F17" s="7"/>
      <c r="G17" s="7"/>
      <c r="H17" s="8" t="str">
        <f t="shared" si="0"/>
        <v/>
      </c>
      <c r="I17" s="8" t="str">
        <f t="shared" si="1"/>
        <v/>
      </c>
      <c r="J17" s="8" t="str">
        <f t="shared" si="2"/>
        <v/>
      </c>
      <c r="K17" s="8" t="str">
        <f t="shared" si="3"/>
        <v/>
      </c>
      <c r="L17" s="10" t="str">
        <f t="shared" si="4"/>
        <v/>
      </c>
      <c r="M17" s="8" t="str">
        <f t="shared" si="5"/>
        <v/>
      </c>
      <c r="N17" s="8" t="str">
        <f>IF($A17="","",SUMIFS('Player Game Log'!$F$4:$F$603,'Player Game Log'!$A$4:$A$603,A17))</f>
        <v/>
      </c>
      <c r="O17" s="8" t="str">
        <f>IF($A17="","",SUMIFS('Player Game Log'!$G$4:$G$603,'Player Game Log'!$A$4:$A$603,A17))</f>
        <v/>
      </c>
      <c r="P17" s="8" t="str">
        <f>IF($A17="","",SUMIFS('Player Game Log'!$H$4:$H$603,'Player Game Log'!$A$4:$A$603,A17))</f>
        <v/>
      </c>
      <c r="Q17" s="8" t="str">
        <f>IF($A17="","",SUMIFS('Player Game Log'!$I$4:$I$603,'Player Game Log'!$A$4:$A$603,A17))</f>
        <v/>
      </c>
      <c r="R17" s="8" t="str">
        <f>IF($A17="","",SUMIFS('Player Game Log'!$R$4:$R$603,'Player Game Log'!$A$4:$A$603,A17))</f>
        <v/>
      </c>
      <c r="S17" s="8" t="str">
        <f>IF($A17="","",SUMIFS('Player Game Log'!$S$4:$S$603,'Player Game Log'!$A$4:$A$603,A17))</f>
        <v/>
      </c>
      <c r="T17" s="8" t="str">
        <f>IF($A17="","",SUMIFS('Player Game Log'!$J$4:$J$603,'Player Game Log'!$A$4:$A$603,A17))</f>
        <v/>
      </c>
      <c r="U17" s="8" t="str">
        <f>IF($A17="","",SUMIFS('Player Game Log'!$K$4:$K$603,'Player Game Log'!$A$4:$A$603,A17))</f>
        <v/>
      </c>
      <c r="V17" s="8" t="str">
        <f>IF($A17="","",SUMIFS('Player Game Log'!$L$4:$L$603,'Player Game Log'!$A$4:$A$603,A17))</f>
        <v/>
      </c>
      <c r="W17" s="8" t="str">
        <f>IF($A17="","",SUMIFS('Player Game Log'!$M$4:$M$603,'Player Game Log'!$A$4:$A$603,A17))</f>
        <v/>
      </c>
      <c r="X17" s="8" t="str">
        <f>IF($A17="","",SUMIFS('Player Game Log'!$N$4:$N$603,'Player Game Log'!$A$4:$A$603,A17))</f>
        <v/>
      </c>
      <c r="Y17" s="8" t="str">
        <f>IF($A17="","",SUMIFS('Player Game Log'!$O$4:$O$603,'Player Game Log'!$A$4:$A$603,A17))</f>
        <v/>
      </c>
      <c r="Z17" s="8" t="str">
        <f>IF($A17="","",SUMIFS('Player Game Log'!$P$4:$P$603,'Player Game Log'!$A$4:$A$603,A17))</f>
        <v/>
      </c>
      <c r="AA17" s="8" t="str">
        <f>IF($A17="","",SUMIFS('Player Game Log'!$Q$4:$Q$603,'Player Game Log'!$A$4:$A$603,A17))</f>
        <v/>
      </c>
      <c r="AB17" s="8" t="str">
        <f>IF($A17="","",COUNTIFS('Player Game Log'!$A$4:$A$603,A17))</f>
        <v/>
      </c>
      <c r="AC17" s="10" t="str">
        <f>IF($A17="","",IF(COUNTIFS('Player Game Log'!$A$4:$A$603,A17)&gt;0,"Yes","No"))</f>
        <v/>
      </c>
    </row>
    <row r="18" spans="1:29" ht="15" customHeight="1">
      <c r="A18" s="4"/>
      <c r="B18" s="15"/>
      <c r="C18" s="4"/>
      <c r="D18" s="7"/>
      <c r="E18" s="7"/>
      <c r="F18" s="7"/>
      <c r="G18" s="7"/>
      <c r="H18" s="8" t="str">
        <f t="shared" si="0"/>
        <v/>
      </c>
      <c r="I18" s="8" t="str">
        <f t="shared" si="1"/>
        <v/>
      </c>
      <c r="J18" s="8" t="str">
        <f t="shared" si="2"/>
        <v/>
      </c>
      <c r="K18" s="8" t="str">
        <f t="shared" si="3"/>
        <v/>
      </c>
      <c r="L18" s="10" t="str">
        <f t="shared" si="4"/>
        <v/>
      </c>
      <c r="M18" s="8" t="str">
        <f t="shared" si="5"/>
        <v/>
      </c>
      <c r="N18" s="8" t="str">
        <f>IF($A18="","",SUMIFS('Player Game Log'!$F$4:$F$603,'Player Game Log'!$A$4:$A$603,A18))</f>
        <v/>
      </c>
      <c r="O18" s="8" t="str">
        <f>IF($A18="","",SUMIFS('Player Game Log'!$G$4:$G$603,'Player Game Log'!$A$4:$A$603,A18))</f>
        <v/>
      </c>
      <c r="P18" s="8" t="str">
        <f>IF($A18="","",SUMIFS('Player Game Log'!$H$4:$H$603,'Player Game Log'!$A$4:$A$603,A18))</f>
        <v/>
      </c>
      <c r="Q18" s="8" t="str">
        <f>IF($A18="","",SUMIFS('Player Game Log'!$I$4:$I$603,'Player Game Log'!$A$4:$A$603,A18))</f>
        <v/>
      </c>
      <c r="R18" s="8" t="str">
        <f>IF($A18="","",SUMIFS('Player Game Log'!$R$4:$R$603,'Player Game Log'!$A$4:$A$603,A18))</f>
        <v/>
      </c>
      <c r="S18" s="8" t="str">
        <f>IF($A18="","",SUMIFS('Player Game Log'!$S$4:$S$603,'Player Game Log'!$A$4:$A$603,A18))</f>
        <v/>
      </c>
      <c r="T18" s="8" t="str">
        <f>IF($A18="","",SUMIFS('Player Game Log'!$J$4:$J$603,'Player Game Log'!$A$4:$A$603,A18))</f>
        <v/>
      </c>
      <c r="U18" s="8" t="str">
        <f>IF($A18="","",SUMIFS('Player Game Log'!$K$4:$K$603,'Player Game Log'!$A$4:$A$603,A18))</f>
        <v/>
      </c>
      <c r="V18" s="8" t="str">
        <f>IF($A18="","",SUMIFS('Player Game Log'!$L$4:$L$603,'Player Game Log'!$A$4:$A$603,A18))</f>
        <v/>
      </c>
      <c r="W18" s="8" t="str">
        <f>IF($A18="","",SUMIFS('Player Game Log'!$M$4:$M$603,'Player Game Log'!$A$4:$A$603,A18))</f>
        <v/>
      </c>
      <c r="X18" s="8" t="str">
        <f>IF($A18="","",SUMIFS('Player Game Log'!$N$4:$N$603,'Player Game Log'!$A$4:$A$603,A18))</f>
        <v/>
      </c>
      <c r="Y18" s="8" t="str">
        <f>IF($A18="","",SUMIFS('Player Game Log'!$O$4:$O$603,'Player Game Log'!$A$4:$A$603,A18))</f>
        <v/>
      </c>
      <c r="Z18" s="8" t="str">
        <f>IF($A18="","",SUMIFS('Player Game Log'!$P$4:$P$603,'Player Game Log'!$A$4:$A$603,A18))</f>
        <v/>
      </c>
      <c r="AA18" s="8" t="str">
        <f>IF($A18="","",SUMIFS('Player Game Log'!$Q$4:$Q$603,'Player Game Log'!$A$4:$A$603,A18))</f>
        <v/>
      </c>
      <c r="AB18" s="8" t="str">
        <f>IF($A18="","",COUNTIFS('Player Game Log'!$A$4:$A$603,A18))</f>
        <v/>
      </c>
      <c r="AC18" s="10" t="str">
        <f>IF($A18="","",IF(COUNTIFS('Player Game Log'!$A$4:$A$603,A18)&gt;0,"Yes","No"))</f>
        <v/>
      </c>
    </row>
    <row r="19" spans="1:29" ht="15" customHeight="1">
      <c r="A19" s="4"/>
      <c r="B19" s="15"/>
      <c r="C19" s="4"/>
      <c r="D19" s="7"/>
      <c r="E19" s="7"/>
      <c r="F19" s="7"/>
      <c r="G19" s="7"/>
      <c r="H19" s="8" t="str">
        <f t="shared" si="0"/>
        <v/>
      </c>
      <c r="I19" s="8" t="str">
        <f t="shared" si="1"/>
        <v/>
      </c>
      <c r="J19" s="8" t="str">
        <f t="shared" si="2"/>
        <v/>
      </c>
      <c r="K19" s="8" t="str">
        <f t="shared" si="3"/>
        <v/>
      </c>
      <c r="L19" s="10" t="str">
        <f t="shared" si="4"/>
        <v/>
      </c>
      <c r="M19" s="8" t="str">
        <f t="shared" si="5"/>
        <v/>
      </c>
      <c r="N19" s="8" t="str">
        <f>IF($A19="","",SUMIFS('Player Game Log'!$F$4:$F$603,'Player Game Log'!$A$4:$A$603,A19))</f>
        <v/>
      </c>
      <c r="O19" s="8" t="str">
        <f>IF($A19="","",SUMIFS('Player Game Log'!$G$4:$G$603,'Player Game Log'!$A$4:$A$603,A19))</f>
        <v/>
      </c>
      <c r="P19" s="8" t="str">
        <f>IF($A19="","",SUMIFS('Player Game Log'!$H$4:$H$603,'Player Game Log'!$A$4:$A$603,A19))</f>
        <v/>
      </c>
      <c r="Q19" s="8" t="str">
        <f>IF($A19="","",SUMIFS('Player Game Log'!$I$4:$I$603,'Player Game Log'!$A$4:$A$603,A19))</f>
        <v/>
      </c>
      <c r="R19" s="8" t="str">
        <f>IF($A19="","",SUMIFS('Player Game Log'!$R$4:$R$603,'Player Game Log'!$A$4:$A$603,A19))</f>
        <v/>
      </c>
      <c r="S19" s="8" t="str">
        <f>IF($A19="","",SUMIFS('Player Game Log'!$S$4:$S$603,'Player Game Log'!$A$4:$A$603,A19))</f>
        <v/>
      </c>
      <c r="T19" s="8" t="str">
        <f>IF($A19="","",SUMIFS('Player Game Log'!$J$4:$J$603,'Player Game Log'!$A$4:$A$603,A19))</f>
        <v/>
      </c>
      <c r="U19" s="8" t="str">
        <f>IF($A19="","",SUMIFS('Player Game Log'!$K$4:$K$603,'Player Game Log'!$A$4:$A$603,A19))</f>
        <v/>
      </c>
      <c r="V19" s="8" t="str">
        <f>IF($A19="","",SUMIFS('Player Game Log'!$L$4:$L$603,'Player Game Log'!$A$4:$A$603,A19))</f>
        <v/>
      </c>
      <c r="W19" s="8" t="str">
        <f>IF($A19="","",SUMIFS('Player Game Log'!$M$4:$M$603,'Player Game Log'!$A$4:$A$603,A19))</f>
        <v/>
      </c>
      <c r="X19" s="8" t="str">
        <f>IF($A19="","",SUMIFS('Player Game Log'!$N$4:$N$603,'Player Game Log'!$A$4:$A$603,A19))</f>
        <v/>
      </c>
      <c r="Y19" s="8" t="str">
        <f>IF($A19="","",SUMIFS('Player Game Log'!$O$4:$O$603,'Player Game Log'!$A$4:$A$603,A19))</f>
        <v/>
      </c>
      <c r="Z19" s="8" t="str">
        <f>IF($A19="","",SUMIFS('Player Game Log'!$P$4:$P$603,'Player Game Log'!$A$4:$A$603,A19))</f>
        <v/>
      </c>
      <c r="AA19" s="8" t="str">
        <f>IF($A19="","",SUMIFS('Player Game Log'!$Q$4:$Q$603,'Player Game Log'!$A$4:$A$603,A19))</f>
        <v/>
      </c>
      <c r="AB19" s="8" t="str">
        <f>IF($A19="","",COUNTIFS('Player Game Log'!$A$4:$A$603,A19))</f>
        <v/>
      </c>
      <c r="AC19" s="10" t="str">
        <f>IF($A19="","",IF(COUNTIFS('Player Game Log'!$A$4:$A$603,A19)&gt;0,"Yes","No"))</f>
        <v/>
      </c>
    </row>
    <row r="20" spans="1:29" ht="15" customHeight="1">
      <c r="A20" s="4"/>
      <c r="B20" s="15"/>
      <c r="C20" s="4"/>
      <c r="D20" s="7"/>
      <c r="E20" s="7"/>
      <c r="F20" s="7"/>
      <c r="G20" s="7"/>
      <c r="H20" s="8" t="str">
        <f t="shared" si="0"/>
        <v/>
      </c>
      <c r="I20" s="8" t="str">
        <f t="shared" si="1"/>
        <v/>
      </c>
      <c r="J20" s="8" t="str">
        <f t="shared" si="2"/>
        <v/>
      </c>
      <c r="K20" s="8" t="str">
        <f t="shared" si="3"/>
        <v/>
      </c>
      <c r="L20" s="10" t="str">
        <f t="shared" si="4"/>
        <v/>
      </c>
      <c r="M20" s="8" t="str">
        <f t="shared" si="5"/>
        <v/>
      </c>
      <c r="N20" s="8" t="str">
        <f>IF($A20="","",SUMIFS('Player Game Log'!$F$4:$F$603,'Player Game Log'!$A$4:$A$603,A20))</f>
        <v/>
      </c>
      <c r="O20" s="8" t="str">
        <f>IF($A20="","",SUMIFS('Player Game Log'!$G$4:$G$603,'Player Game Log'!$A$4:$A$603,A20))</f>
        <v/>
      </c>
      <c r="P20" s="8" t="str">
        <f>IF($A20="","",SUMIFS('Player Game Log'!$H$4:$H$603,'Player Game Log'!$A$4:$A$603,A20))</f>
        <v/>
      </c>
      <c r="Q20" s="8" t="str">
        <f>IF($A20="","",SUMIFS('Player Game Log'!$I$4:$I$603,'Player Game Log'!$A$4:$A$603,A20))</f>
        <v/>
      </c>
      <c r="R20" s="8" t="str">
        <f>IF($A20="","",SUMIFS('Player Game Log'!$R$4:$R$603,'Player Game Log'!$A$4:$A$603,A20))</f>
        <v/>
      </c>
      <c r="S20" s="8" t="str">
        <f>IF($A20="","",SUMIFS('Player Game Log'!$S$4:$S$603,'Player Game Log'!$A$4:$A$603,A20))</f>
        <v/>
      </c>
      <c r="T20" s="8" t="str">
        <f>IF($A20="","",SUMIFS('Player Game Log'!$J$4:$J$603,'Player Game Log'!$A$4:$A$603,A20))</f>
        <v/>
      </c>
      <c r="U20" s="8" t="str">
        <f>IF($A20="","",SUMIFS('Player Game Log'!$K$4:$K$603,'Player Game Log'!$A$4:$A$603,A20))</f>
        <v/>
      </c>
      <c r="V20" s="8" t="str">
        <f>IF($A20="","",SUMIFS('Player Game Log'!$L$4:$L$603,'Player Game Log'!$A$4:$A$603,A20))</f>
        <v/>
      </c>
      <c r="W20" s="8" t="str">
        <f>IF($A20="","",SUMIFS('Player Game Log'!$M$4:$M$603,'Player Game Log'!$A$4:$A$603,A20))</f>
        <v/>
      </c>
      <c r="X20" s="8" t="str">
        <f>IF($A20="","",SUMIFS('Player Game Log'!$N$4:$N$603,'Player Game Log'!$A$4:$A$603,A20))</f>
        <v/>
      </c>
      <c r="Y20" s="8" t="str">
        <f>IF($A20="","",SUMIFS('Player Game Log'!$O$4:$O$603,'Player Game Log'!$A$4:$A$603,A20))</f>
        <v/>
      </c>
      <c r="Z20" s="8" t="str">
        <f>IF($A20="","",SUMIFS('Player Game Log'!$P$4:$P$603,'Player Game Log'!$A$4:$A$603,A20))</f>
        <v/>
      </c>
      <c r="AA20" s="8" t="str">
        <f>IF($A20="","",SUMIFS('Player Game Log'!$Q$4:$Q$603,'Player Game Log'!$A$4:$A$603,A20))</f>
        <v/>
      </c>
      <c r="AB20" s="8" t="str">
        <f>IF($A20="","",COUNTIFS('Player Game Log'!$A$4:$A$603,A20))</f>
        <v/>
      </c>
      <c r="AC20" s="10" t="str">
        <f>IF($A20="","",IF(COUNTIFS('Player Game Log'!$A$4:$A$603,A20)&gt;0,"Yes","No"))</f>
        <v/>
      </c>
    </row>
    <row r="21" spans="1:29" ht="15" customHeight="1">
      <c r="A21" s="4"/>
      <c r="B21" s="15"/>
      <c r="C21" s="4"/>
      <c r="D21" s="7"/>
      <c r="E21" s="7"/>
      <c r="F21" s="7"/>
      <c r="G21" s="7"/>
      <c r="H21" s="8" t="str">
        <f t="shared" si="0"/>
        <v/>
      </c>
      <c r="I21" s="8" t="str">
        <f t="shared" si="1"/>
        <v/>
      </c>
      <c r="J21" s="8" t="str">
        <f t="shared" si="2"/>
        <v/>
      </c>
      <c r="K21" s="8" t="str">
        <f t="shared" si="3"/>
        <v/>
      </c>
      <c r="L21" s="10" t="str">
        <f t="shared" si="4"/>
        <v/>
      </c>
      <c r="M21" s="8" t="str">
        <f t="shared" si="5"/>
        <v/>
      </c>
      <c r="N21" s="8" t="str">
        <f>IF($A21="","",SUMIFS('Player Game Log'!$F$4:$F$603,'Player Game Log'!$A$4:$A$603,A21))</f>
        <v/>
      </c>
      <c r="O21" s="8" t="str">
        <f>IF($A21="","",SUMIFS('Player Game Log'!$G$4:$G$603,'Player Game Log'!$A$4:$A$603,A21))</f>
        <v/>
      </c>
      <c r="P21" s="8" t="str">
        <f>IF($A21="","",SUMIFS('Player Game Log'!$H$4:$H$603,'Player Game Log'!$A$4:$A$603,A21))</f>
        <v/>
      </c>
      <c r="Q21" s="8" t="str">
        <f>IF($A21="","",SUMIFS('Player Game Log'!$I$4:$I$603,'Player Game Log'!$A$4:$A$603,A21))</f>
        <v/>
      </c>
      <c r="R21" s="8" t="str">
        <f>IF($A21="","",SUMIFS('Player Game Log'!$R$4:$R$603,'Player Game Log'!$A$4:$A$603,A21))</f>
        <v/>
      </c>
      <c r="S21" s="8" t="str">
        <f>IF($A21="","",SUMIFS('Player Game Log'!$S$4:$S$603,'Player Game Log'!$A$4:$A$603,A21))</f>
        <v/>
      </c>
      <c r="T21" s="8" t="str">
        <f>IF($A21="","",SUMIFS('Player Game Log'!$J$4:$J$603,'Player Game Log'!$A$4:$A$603,A21))</f>
        <v/>
      </c>
      <c r="U21" s="8" t="str">
        <f>IF($A21="","",SUMIFS('Player Game Log'!$K$4:$K$603,'Player Game Log'!$A$4:$A$603,A21))</f>
        <v/>
      </c>
      <c r="V21" s="8" t="str">
        <f>IF($A21="","",SUMIFS('Player Game Log'!$L$4:$L$603,'Player Game Log'!$A$4:$A$603,A21))</f>
        <v/>
      </c>
      <c r="W21" s="8" t="str">
        <f>IF($A21="","",SUMIFS('Player Game Log'!$M$4:$M$603,'Player Game Log'!$A$4:$A$603,A21))</f>
        <v/>
      </c>
      <c r="X21" s="8" t="str">
        <f>IF($A21="","",SUMIFS('Player Game Log'!$N$4:$N$603,'Player Game Log'!$A$4:$A$603,A21))</f>
        <v/>
      </c>
      <c r="Y21" s="8" t="str">
        <f>IF($A21="","",SUMIFS('Player Game Log'!$O$4:$O$603,'Player Game Log'!$A$4:$A$603,A21))</f>
        <v/>
      </c>
      <c r="Z21" s="8" t="str">
        <f>IF($A21="","",SUMIFS('Player Game Log'!$P$4:$P$603,'Player Game Log'!$A$4:$A$603,A21))</f>
        <v/>
      </c>
      <c r="AA21" s="8" t="str">
        <f>IF($A21="","",SUMIFS('Player Game Log'!$Q$4:$Q$603,'Player Game Log'!$A$4:$A$603,A21))</f>
        <v/>
      </c>
      <c r="AB21" s="8" t="str">
        <f>IF($A21="","",COUNTIFS('Player Game Log'!$A$4:$A$603,A21))</f>
        <v/>
      </c>
      <c r="AC21" s="10" t="str">
        <f>IF($A21="","",IF(COUNTIFS('Player Game Log'!$A$4:$A$603,A21)&gt;0,"Yes","No"))</f>
        <v/>
      </c>
    </row>
    <row r="22" spans="1:29" ht="15" customHeight="1">
      <c r="A22" s="4"/>
      <c r="B22" s="15"/>
      <c r="C22" s="4"/>
      <c r="D22" s="7"/>
      <c r="E22" s="7"/>
      <c r="F22" s="7"/>
      <c r="G22" s="7"/>
      <c r="H22" s="8" t="str">
        <f t="shared" si="0"/>
        <v/>
      </c>
      <c r="I22" s="8" t="str">
        <f t="shared" si="1"/>
        <v/>
      </c>
      <c r="J22" s="8" t="str">
        <f t="shared" si="2"/>
        <v/>
      </c>
      <c r="K22" s="8" t="str">
        <f t="shared" si="3"/>
        <v/>
      </c>
      <c r="L22" s="10" t="str">
        <f t="shared" si="4"/>
        <v/>
      </c>
      <c r="M22" s="8" t="str">
        <f t="shared" si="5"/>
        <v/>
      </c>
      <c r="N22" s="8" t="str">
        <f>IF($A22="","",SUMIFS('Player Game Log'!$F$4:$F$603,'Player Game Log'!$A$4:$A$603,A22))</f>
        <v/>
      </c>
      <c r="O22" s="8" t="str">
        <f>IF($A22="","",SUMIFS('Player Game Log'!$G$4:$G$603,'Player Game Log'!$A$4:$A$603,A22))</f>
        <v/>
      </c>
      <c r="P22" s="8" t="str">
        <f>IF($A22="","",SUMIFS('Player Game Log'!$H$4:$H$603,'Player Game Log'!$A$4:$A$603,A22))</f>
        <v/>
      </c>
      <c r="Q22" s="8" t="str">
        <f>IF($A22="","",SUMIFS('Player Game Log'!$I$4:$I$603,'Player Game Log'!$A$4:$A$603,A22))</f>
        <v/>
      </c>
      <c r="R22" s="8" t="str">
        <f>IF($A22="","",SUMIFS('Player Game Log'!$R$4:$R$603,'Player Game Log'!$A$4:$A$603,A22))</f>
        <v/>
      </c>
      <c r="S22" s="8" t="str">
        <f>IF($A22="","",SUMIFS('Player Game Log'!$S$4:$S$603,'Player Game Log'!$A$4:$A$603,A22))</f>
        <v/>
      </c>
      <c r="T22" s="8" t="str">
        <f>IF($A22="","",SUMIFS('Player Game Log'!$J$4:$J$603,'Player Game Log'!$A$4:$A$603,A22))</f>
        <v/>
      </c>
      <c r="U22" s="8" t="str">
        <f>IF($A22="","",SUMIFS('Player Game Log'!$K$4:$K$603,'Player Game Log'!$A$4:$A$603,A22))</f>
        <v/>
      </c>
      <c r="V22" s="8" t="str">
        <f>IF($A22="","",SUMIFS('Player Game Log'!$L$4:$L$603,'Player Game Log'!$A$4:$A$603,A22))</f>
        <v/>
      </c>
      <c r="W22" s="8" t="str">
        <f>IF($A22="","",SUMIFS('Player Game Log'!$M$4:$M$603,'Player Game Log'!$A$4:$A$603,A22))</f>
        <v/>
      </c>
      <c r="X22" s="8" t="str">
        <f>IF($A22="","",SUMIFS('Player Game Log'!$N$4:$N$603,'Player Game Log'!$A$4:$A$603,A22))</f>
        <v/>
      </c>
      <c r="Y22" s="8" t="str">
        <f>IF($A22="","",SUMIFS('Player Game Log'!$O$4:$O$603,'Player Game Log'!$A$4:$A$603,A22))</f>
        <v/>
      </c>
      <c r="Z22" s="8" t="str">
        <f>IF($A22="","",SUMIFS('Player Game Log'!$P$4:$P$603,'Player Game Log'!$A$4:$A$603,A22))</f>
        <v/>
      </c>
      <c r="AA22" s="8" t="str">
        <f>IF($A22="","",SUMIFS('Player Game Log'!$Q$4:$Q$603,'Player Game Log'!$A$4:$A$603,A22))</f>
        <v/>
      </c>
      <c r="AB22" s="8" t="str">
        <f>IF($A22="","",COUNTIFS('Player Game Log'!$A$4:$A$603,A22))</f>
        <v/>
      </c>
      <c r="AC22" s="10" t="str">
        <f>IF($A22="","",IF(COUNTIFS('Player Game Log'!$A$4:$A$603,A22)&gt;0,"Yes","No"))</f>
        <v/>
      </c>
    </row>
    <row r="23" spans="1:29" ht="15" customHeight="1">
      <c r="A23" s="4"/>
      <c r="B23" s="15"/>
      <c r="C23" s="4"/>
      <c r="D23" s="7"/>
      <c r="E23" s="7"/>
      <c r="F23" s="7"/>
      <c r="G23" s="7"/>
      <c r="H23" s="8" t="str">
        <f t="shared" si="0"/>
        <v/>
      </c>
      <c r="I23" s="8" t="str">
        <f t="shared" si="1"/>
        <v/>
      </c>
      <c r="J23" s="8" t="str">
        <f t="shared" si="2"/>
        <v/>
      </c>
      <c r="K23" s="8" t="str">
        <f t="shared" si="3"/>
        <v/>
      </c>
      <c r="L23" s="10" t="str">
        <f t="shared" si="4"/>
        <v/>
      </c>
      <c r="M23" s="8" t="str">
        <f t="shared" si="5"/>
        <v/>
      </c>
      <c r="N23" s="8" t="str">
        <f>IF($A23="","",SUMIFS('Player Game Log'!$F$4:$F$603,'Player Game Log'!$A$4:$A$603,A23))</f>
        <v/>
      </c>
      <c r="O23" s="8" t="str">
        <f>IF($A23="","",SUMIFS('Player Game Log'!$G$4:$G$603,'Player Game Log'!$A$4:$A$603,A23))</f>
        <v/>
      </c>
      <c r="P23" s="8" t="str">
        <f>IF($A23="","",SUMIFS('Player Game Log'!$H$4:$H$603,'Player Game Log'!$A$4:$A$603,A23))</f>
        <v/>
      </c>
      <c r="Q23" s="8" t="str">
        <f>IF($A23="","",SUMIFS('Player Game Log'!$I$4:$I$603,'Player Game Log'!$A$4:$A$603,A23))</f>
        <v/>
      </c>
      <c r="R23" s="8" t="str">
        <f>IF($A23="","",SUMIFS('Player Game Log'!$R$4:$R$603,'Player Game Log'!$A$4:$A$603,A23))</f>
        <v/>
      </c>
      <c r="S23" s="8" t="str">
        <f>IF($A23="","",SUMIFS('Player Game Log'!$S$4:$S$603,'Player Game Log'!$A$4:$A$603,A23))</f>
        <v/>
      </c>
      <c r="T23" s="8" t="str">
        <f>IF($A23="","",SUMIFS('Player Game Log'!$J$4:$J$603,'Player Game Log'!$A$4:$A$603,A23))</f>
        <v/>
      </c>
      <c r="U23" s="8" t="str">
        <f>IF($A23="","",SUMIFS('Player Game Log'!$K$4:$K$603,'Player Game Log'!$A$4:$A$603,A23))</f>
        <v/>
      </c>
      <c r="V23" s="8" t="str">
        <f>IF($A23="","",SUMIFS('Player Game Log'!$L$4:$L$603,'Player Game Log'!$A$4:$A$603,A23))</f>
        <v/>
      </c>
      <c r="W23" s="8" t="str">
        <f>IF($A23="","",SUMIFS('Player Game Log'!$M$4:$M$603,'Player Game Log'!$A$4:$A$603,A23))</f>
        <v/>
      </c>
      <c r="X23" s="8" t="str">
        <f>IF($A23="","",SUMIFS('Player Game Log'!$N$4:$N$603,'Player Game Log'!$A$4:$A$603,A23))</f>
        <v/>
      </c>
      <c r="Y23" s="8" t="str">
        <f>IF($A23="","",SUMIFS('Player Game Log'!$O$4:$O$603,'Player Game Log'!$A$4:$A$603,A23))</f>
        <v/>
      </c>
      <c r="Z23" s="8" t="str">
        <f>IF($A23="","",SUMIFS('Player Game Log'!$P$4:$P$603,'Player Game Log'!$A$4:$A$603,A23))</f>
        <v/>
      </c>
      <c r="AA23" s="8" t="str">
        <f>IF($A23="","",SUMIFS('Player Game Log'!$Q$4:$Q$603,'Player Game Log'!$A$4:$A$603,A23))</f>
        <v/>
      </c>
      <c r="AB23" s="8" t="str">
        <f>IF($A23="","",COUNTIFS('Player Game Log'!$A$4:$A$603,A23))</f>
        <v/>
      </c>
      <c r="AC23" s="10" t="str">
        <f>IF($A23="","",IF(COUNTIFS('Player Game Log'!$A$4:$A$603,A23)&gt;0,"Yes","No"))</f>
        <v/>
      </c>
    </row>
    <row r="24" spans="1:29" ht="15" customHeight="1">
      <c r="A24" s="4"/>
      <c r="B24" s="15"/>
      <c r="C24" s="4"/>
      <c r="D24" s="7"/>
      <c r="E24" s="7"/>
      <c r="F24" s="7"/>
      <c r="G24" s="7"/>
      <c r="H24" s="8" t="str">
        <f t="shared" si="0"/>
        <v/>
      </c>
      <c r="I24" s="8" t="str">
        <f t="shared" si="1"/>
        <v/>
      </c>
      <c r="J24" s="8" t="str">
        <f t="shared" si="2"/>
        <v/>
      </c>
      <c r="K24" s="8" t="str">
        <f t="shared" si="3"/>
        <v/>
      </c>
      <c r="L24" s="10" t="str">
        <f t="shared" si="4"/>
        <v/>
      </c>
      <c r="M24" s="8" t="str">
        <f t="shared" si="5"/>
        <v/>
      </c>
      <c r="N24" s="8" t="str">
        <f>IF($A24="","",SUMIFS('Player Game Log'!$F$4:$F$603,'Player Game Log'!$A$4:$A$603,A24))</f>
        <v/>
      </c>
      <c r="O24" s="8" t="str">
        <f>IF($A24="","",SUMIFS('Player Game Log'!$G$4:$G$603,'Player Game Log'!$A$4:$A$603,A24))</f>
        <v/>
      </c>
      <c r="P24" s="8" t="str">
        <f>IF($A24="","",SUMIFS('Player Game Log'!$H$4:$H$603,'Player Game Log'!$A$4:$A$603,A24))</f>
        <v/>
      </c>
      <c r="Q24" s="8" t="str">
        <f>IF($A24="","",SUMIFS('Player Game Log'!$I$4:$I$603,'Player Game Log'!$A$4:$A$603,A24))</f>
        <v/>
      </c>
      <c r="R24" s="8" t="str">
        <f>IF($A24="","",SUMIFS('Player Game Log'!$R$4:$R$603,'Player Game Log'!$A$4:$A$603,A24))</f>
        <v/>
      </c>
      <c r="S24" s="8" t="str">
        <f>IF($A24="","",SUMIFS('Player Game Log'!$S$4:$S$603,'Player Game Log'!$A$4:$A$603,A24))</f>
        <v/>
      </c>
      <c r="T24" s="8" t="str">
        <f>IF($A24="","",SUMIFS('Player Game Log'!$J$4:$J$603,'Player Game Log'!$A$4:$A$603,A24))</f>
        <v/>
      </c>
      <c r="U24" s="8" t="str">
        <f>IF($A24="","",SUMIFS('Player Game Log'!$K$4:$K$603,'Player Game Log'!$A$4:$A$603,A24))</f>
        <v/>
      </c>
      <c r="V24" s="8" t="str">
        <f>IF($A24="","",SUMIFS('Player Game Log'!$L$4:$L$603,'Player Game Log'!$A$4:$A$603,A24))</f>
        <v/>
      </c>
      <c r="W24" s="8" t="str">
        <f>IF($A24="","",SUMIFS('Player Game Log'!$M$4:$M$603,'Player Game Log'!$A$4:$A$603,A24))</f>
        <v/>
      </c>
      <c r="X24" s="8" t="str">
        <f>IF($A24="","",SUMIFS('Player Game Log'!$N$4:$N$603,'Player Game Log'!$A$4:$A$603,A24))</f>
        <v/>
      </c>
      <c r="Y24" s="8" t="str">
        <f>IF($A24="","",SUMIFS('Player Game Log'!$O$4:$O$603,'Player Game Log'!$A$4:$A$603,A24))</f>
        <v/>
      </c>
      <c r="Z24" s="8" t="str">
        <f>IF($A24="","",SUMIFS('Player Game Log'!$P$4:$P$603,'Player Game Log'!$A$4:$A$603,A24))</f>
        <v/>
      </c>
      <c r="AA24" s="8" t="str">
        <f>IF($A24="","",SUMIFS('Player Game Log'!$Q$4:$Q$603,'Player Game Log'!$A$4:$A$603,A24))</f>
        <v/>
      </c>
      <c r="AB24" s="8" t="str">
        <f>IF($A24="","",COUNTIFS('Player Game Log'!$A$4:$A$603,A24))</f>
        <v/>
      </c>
      <c r="AC24" s="10" t="str">
        <f>IF($A24="","",IF(COUNTIFS('Player Game Log'!$A$4:$A$603,A24)&gt;0,"Yes","No"))</f>
        <v/>
      </c>
    </row>
    <row r="25" spans="1:29" ht="15" customHeight="1">
      <c r="A25" s="4"/>
      <c r="B25" s="15"/>
      <c r="C25" s="4"/>
      <c r="D25" s="7"/>
      <c r="E25" s="7"/>
      <c r="F25" s="7"/>
      <c r="G25" s="7"/>
      <c r="H25" s="8" t="str">
        <f t="shared" si="0"/>
        <v/>
      </c>
      <c r="I25" s="8" t="str">
        <f t="shared" si="1"/>
        <v/>
      </c>
      <c r="J25" s="8" t="str">
        <f t="shared" si="2"/>
        <v/>
      </c>
      <c r="K25" s="8" t="str">
        <f t="shared" si="3"/>
        <v/>
      </c>
      <c r="L25" s="10" t="str">
        <f t="shared" si="4"/>
        <v/>
      </c>
      <c r="M25" s="8" t="str">
        <f t="shared" si="5"/>
        <v/>
      </c>
      <c r="N25" s="8" t="str">
        <f>IF($A25="","",SUMIFS('Player Game Log'!$F$4:$F$603,'Player Game Log'!$A$4:$A$603,A25))</f>
        <v/>
      </c>
      <c r="O25" s="8" t="str">
        <f>IF($A25="","",SUMIFS('Player Game Log'!$G$4:$G$603,'Player Game Log'!$A$4:$A$603,A25))</f>
        <v/>
      </c>
      <c r="P25" s="8" t="str">
        <f>IF($A25="","",SUMIFS('Player Game Log'!$H$4:$H$603,'Player Game Log'!$A$4:$A$603,A25))</f>
        <v/>
      </c>
      <c r="Q25" s="8" t="str">
        <f>IF($A25="","",SUMIFS('Player Game Log'!$I$4:$I$603,'Player Game Log'!$A$4:$A$603,A25))</f>
        <v/>
      </c>
      <c r="R25" s="8" t="str">
        <f>IF($A25="","",SUMIFS('Player Game Log'!$R$4:$R$603,'Player Game Log'!$A$4:$A$603,A25))</f>
        <v/>
      </c>
      <c r="S25" s="8" t="str">
        <f>IF($A25="","",SUMIFS('Player Game Log'!$S$4:$S$603,'Player Game Log'!$A$4:$A$603,A25))</f>
        <v/>
      </c>
      <c r="T25" s="8" t="str">
        <f>IF($A25="","",SUMIFS('Player Game Log'!$J$4:$J$603,'Player Game Log'!$A$4:$A$603,A25))</f>
        <v/>
      </c>
      <c r="U25" s="8" t="str">
        <f>IF($A25="","",SUMIFS('Player Game Log'!$K$4:$K$603,'Player Game Log'!$A$4:$A$603,A25))</f>
        <v/>
      </c>
      <c r="V25" s="8" t="str">
        <f>IF($A25="","",SUMIFS('Player Game Log'!$L$4:$L$603,'Player Game Log'!$A$4:$A$603,A25))</f>
        <v/>
      </c>
      <c r="W25" s="8" t="str">
        <f>IF($A25="","",SUMIFS('Player Game Log'!$M$4:$M$603,'Player Game Log'!$A$4:$A$603,A25))</f>
        <v/>
      </c>
      <c r="X25" s="8" t="str">
        <f>IF($A25="","",SUMIFS('Player Game Log'!$N$4:$N$603,'Player Game Log'!$A$4:$A$603,A25))</f>
        <v/>
      </c>
      <c r="Y25" s="8" t="str">
        <f>IF($A25="","",SUMIFS('Player Game Log'!$O$4:$O$603,'Player Game Log'!$A$4:$A$603,A25))</f>
        <v/>
      </c>
      <c r="Z25" s="8" t="str">
        <f>IF($A25="","",SUMIFS('Player Game Log'!$P$4:$P$603,'Player Game Log'!$A$4:$A$603,A25))</f>
        <v/>
      </c>
      <c r="AA25" s="8" t="str">
        <f>IF($A25="","",SUMIFS('Player Game Log'!$Q$4:$Q$603,'Player Game Log'!$A$4:$A$603,A25))</f>
        <v/>
      </c>
      <c r="AB25" s="8" t="str">
        <f>IF($A25="","",COUNTIFS('Player Game Log'!$A$4:$A$603,A25))</f>
        <v/>
      </c>
      <c r="AC25" s="10" t="str">
        <f>IF($A25="","",IF(COUNTIFS('Player Game Log'!$A$4:$A$603,A25)&gt;0,"Yes","No"))</f>
        <v/>
      </c>
    </row>
    <row r="26" spans="1:29" ht="15" customHeight="1">
      <c r="A26" s="4"/>
      <c r="B26" s="15"/>
      <c r="C26" s="4"/>
      <c r="D26" s="7"/>
      <c r="E26" s="7"/>
      <c r="F26" s="7"/>
      <c r="G26" s="7"/>
      <c r="H26" s="8" t="str">
        <f t="shared" si="0"/>
        <v/>
      </c>
      <c r="I26" s="8" t="str">
        <f t="shared" si="1"/>
        <v/>
      </c>
      <c r="J26" s="8" t="str">
        <f t="shared" si="2"/>
        <v/>
      </c>
      <c r="K26" s="8" t="str">
        <f t="shared" si="3"/>
        <v/>
      </c>
      <c r="L26" s="10" t="str">
        <f t="shared" si="4"/>
        <v/>
      </c>
      <c r="M26" s="8" t="str">
        <f t="shared" si="5"/>
        <v/>
      </c>
      <c r="N26" s="8" t="str">
        <f>IF($A26="","",SUMIFS('Player Game Log'!$F$4:$F$603,'Player Game Log'!$A$4:$A$603,A26))</f>
        <v/>
      </c>
      <c r="O26" s="8" t="str">
        <f>IF($A26="","",SUMIFS('Player Game Log'!$G$4:$G$603,'Player Game Log'!$A$4:$A$603,A26))</f>
        <v/>
      </c>
      <c r="P26" s="8" t="str">
        <f>IF($A26="","",SUMIFS('Player Game Log'!$H$4:$H$603,'Player Game Log'!$A$4:$A$603,A26))</f>
        <v/>
      </c>
      <c r="Q26" s="8" t="str">
        <f>IF($A26="","",SUMIFS('Player Game Log'!$I$4:$I$603,'Player Game Log'!$A$4:$A$603,A26))</f>
        <v/>
      </c>
      <c r="R26" s="8" t="str">
        <f>IF($A26="","",SUMIFS('Player Game Log'!$R$4:$R$603,'Player Game Log'!$A$4:$A$603,A26))</f>
        <v/>
      </c>
      <c r="S26" s="8" t="str">
        <f>IF($A26="","",SUMIFS('Player Game Log'!$S$4:$S$603,'Player Game Log'!$A$4:$A$603,A26))</f>
        <v/>
      </c>
      <c r="T26" s="8" t="str">
        <f>IF($A26="","",SUMIFS('Player Game Log'!$J$4:$J$603,'Player Game Log'!$A$4:$A$603,A26))</f>
        <v/>
      </c>
      <c r="U26" s="8" t="str">
        <f>IF($A26="","",SUMIFS('Player Game Log'!$K$4:$K$603,'Player Game Log'!$A$4:$A$603,A26))</f>
        <v/>
      </c>
      <c r="V26" s="8" t="str">
        <f>IF($A26="","",SUMIFS('Player Game Log'!$L$4:$L$603,'Player Game Log'!$A$4:$A$603,A26))</f>
        <v/>
      </c>
      <c r="W26" s="8" t="str">
        <f>IF($A26="","",SUMIFS('Player Game Log'!$M$4:$M$603,'Player Game Log'!$A$4:$A$603,A26))</f>
        <v/>
      </c>
      <c r="X26" s="8" t="str">
        <f>IF($A26="","",SUMIFS('Player Game Log'!$N$4:$N$603,'Player Game Log'!$A$4:$A$603,A26))</f>
        <v/>
      </c>
      <c r="Y26" s="8" t="str">
        <f>IF($A26="","",SUMIFS('Player Game Log'!$O$4:$O$603,'Player Game Log'!$A$4:$A$603,A26))</f>
        <v/>
      </c>
      <c r="Z26" s="8" t="str">
        <f>IF($A26="","",SUMIFS('Player Game Log'!$P$4:$P$603,'Player Game Log'!$A$4:$A$603,A26))</f>
        <v/>
      </c>
      <c r="AA26" s="8" t="str">
        <f>IF($A26="","",SUMIFS('Player Game Log'!$Q$4:$Q$603,'Player Game Log'!$A$4:$A$603,A26))</f>
        <v/>
      </c>
      <c r="AB26" s="8" t="str">
        <f>IF($A26="","",COUNTIFS('Player Game Log'!$A$4:$A$603,A26))</f>
        <v/>
      </c>
      <c r="AC26" s="10" t="str">
        <f>IF($A26="","",IF(COUNTIFS('Player Game Log'!$A$4:$A$603,A26)&gt;0,"Yes","No"))</f>
        <v/>
      </c>
    </row>
    <row r="27" spans="1:29" ht="15" customHeight="1">
      <c r="A27" s="4"/>
      <c r="B27" s="15"/>
      <c r="C27" s="4"/>
      <c r="D27" s="7"/>
      <c r="E27" s="7"/>
      <c r="F27" s="7"/>
      <c r="G27" s="7"/>
      <c r="H27" s="8" t="str">
        <f t="shared" si="0"/>
        <v/>
      </c>
      <c r="I27" s="8" t="str">
        <f t="shared" si="1"/>
        <v/>
      </c>
      <c r="J27" s="8" t="str">
        <f t="shared" si="2"/>
        <v/>
      </c>
      <c r="K27" s="8" t="str">
        <f t="shared" si="3"/>
        <v/>
      </c>
      <c r="L27" s="10" t="str">
        <f t="shared" si="4"/>
        <v/>
      </c>
      <c r="M27" s="8" t="str">
        <f t="shared" si="5"/>
        <v/>
      </c>
      <c r="N27" s="8" t="str">
        <f>IF($A27="","",SUMIFS('Player Game Log'!$F$4:$F$603,'Player Game Log'!$A$4:$A$603,A27))</f>
        <v/>
      </c>
      <c r="O27" s="8" t="str">
        <f>IF($A27="","",SUMIFS('Player Game Log'!$G$4:$G$603,'Player Game Log'!$A$4:$A$603,A27))</f>
        <v/>
      </c>
      <c r="P27" s="8" t="str">
        <f>IF($A27="","",SUMIFS('Player Game Log'!$H$4:$H$603,'Player Game Log'!$A$4:$A$603,A27))</f>
        <v/>
      </c>
      <c r="Q27" s="8" t="str">
        <f>IF($A27="","",SUMIFS('Player Game Log'!$I$4:$I$603,'Player Game Log'!$A$4:$A$603,A27))</f>
        <v/>
      </c>
      <c r="R27" s="8" t="str">
        <f>IF($A27="","",SUMIFS('Player Game Log'!$R$4:$R$603,'Player Game Log'!$A$4:$A$603,A27))</f>
        <v/>
      </c>
      <c r="S27" s="8" t="str">
        <f>IF($A27="","",SUMIFS('Player Game Log'!$S$4:$S$603,'Player Game Log'!$A$4:$A$603,A27))</f>
        <v/>
      </c>
      <c r="T27" s="8" t="str">
        <f>IF($A27="","",SUMIFS('Player Game Log'!$J$4:$J$603,'Player Game Log'!$A$4:$A$603,A27))</f>
        <v/>
      </c>
      <c r="U27" s="8" t="str">
        <f>IF($A27="","",SUMIFS('Player Game Log'!$K$4:$K$603,'Player Game Log'!$A$4:$A$603,A27))</f>
        <v/>
      </c>
      <c r="V27" s="8" t="str">
        <f>IF($A27="","",SUMIFS('Player Game Log'!$L$4:$L$603,'Player Game Log'!$A$4:$A$603,A27))</f>
        <v/>
      </c>
      <c r="W27" s="8" t="str">
        <f>IF($A27="","",SUMIFS('Player Game Log'!$M$4:$M$603,'Player Game Log'!$A$4:$A$603,A27))</f>
        <v/>
      </c>
      <c r="X27" s="8" t="str">
        <f>IF($A27="","",SUMIFS('Player Game Log'!$N$4:$N$603,'Player Game Log'!$A$4:$A$603,A27))</f>
        <v/>
      </c>
      <c r="Y27" s="8" t="str">
        <f>IF($A27="","",SUMIFS('Player Game Log'!$O$4:$O$603,'Player Game Log'!$A$4:$A$603,A27))</f>
        <v/>
      </c>
      <c r="Z27" s="8" t="str">
        <f>IF($A27="","",SUMIFS('Player Game Log'!$P$4:$P$603,'Player Game Log'!$A$4:$A$603,A27))</f>
        <v/>
      </c>
      <c r="AA27" s="8" t="str">
        <f>IF($A27="","",SUMIFS('Player Game Log'!$Q$4:$Q$603,'Player Game Log'!$A$4:$A$603,A27))</f>
        <v/>
      </c>
      <c r="AB27" s="8" t="str">
        <f>IF($A27="","",COUNTIFS('Player Game Log'!$A$4:$A$603,A27))</f>
        <v/>
      </c>
      <c r="AC27" s="10" t="str">
        <f>IF($A27="","",IF(COUNTIFS('Player Game Log'!$A$4:$A$603,A27)&gt;0,"Yes","No"))</f>
        <v/>
      </c>
    </row>
    <row r="28" spans="1:29" ht="15" customHeight="1">
      <c r="A28" s="4"/>
      <c r="B28" s="15"/>
      <c r="C28" s="4"/>
      <c r="D28" s="7"/>
      <c r="E28" s="7"/>
      <c r="F28" s="7"/>
      <c r="G28" s="7"/>
      <c r="H28" s="8" t="str">
        <f t="shared" si="0"/>
        <v/>
      </c>
      <c r="I28" s="8" t="str">
        <f t="shared" si="1"/>
        <v/>
      </c>
      <c r="J28" s="8" t="str">
        <f t="shared" si="2"/>
        <v/>
      </c>
      <c r="K28" s="8" t="str">
        <f t="shared" si="3"/>
        <v/>
      </c>
      <c r="L28" s="10" t="str">
        <f t="shared" si="4"/>
        <v/>
      </c>
      <c r="M28" s="8" t="str">
        <f t="shared" si="5"/>
        <v/>
      </c>
      <c r="N28" s="8" t="str">
        <f>IF($A28="","",SUMIFS('Player Game Log'!$F$4:$F$603,'Player Game Log'!$A$4:$A$603,A28))</f>
        <v/>
      </c>
      <c r="O28" s="8" t="str">
        <f>IF($A28="","",SUMIFS('Player Game Log'!$G$4:$G$603,'Player Game Log'!$A$4:$A$603,A28))</f>
        <v/>
      </c>
      <c r="P28" s="8" t="str">
        <f>IF($A28="","",SUMIFS('Player Game Log'!$H$4:$H$603,'Player Game Log'!$A$4:$A$603,A28))</f>
        <v/>
      </c>
      <c r="Q28" s="8" t="str">
        <f>IF($A28="","",SUMIFS('Player Game Log'!$I$4:$I$603,'Player Game Log'!$A$4:$A$603,A28))</f>
        <v/>
      </c>
      <c r="R28" s="8" t="str">
        <f>IF($A28="","",SUMIFS('Player Game Log'!$R$4:$R$603,'Player Game Log'!$A$4:$A$603,A28))</f>
        <v/>
      </c>
      <c r="S28" s="8" t="str">
        <f>IF($A28="","",SUMIFS('Player Game Log'!$S$4:$S$603,'Player Game Log'!$A$4:$A$603,A28))</f>
        <v/>
      </c>
      <c r="T28" s="8" t="str">
        <f>IF($A28="","",SUMIFS('Player Game Log'!$J$4:$J$603,'Player Game Log'!$A$4:$A$603,A28))</f>
        <v/>
      </c>
      <c r="U28" s="8" t="str">
        <f>IF($A28="","",SUMIFS('Player Game Log'!$K$4:$K$603,'Player Game Log'!$A$4:$A$603,A28))</f>
        <v/>
      </c>
      <c r="V28" s="8" t="str">
        <f>IF($A28="","",SUMIFS('Player Game Log'!$L$4:$L$603,'Player Game Log'!$A$4:$A$603,A28))</f>
        <v/>
      </c>
      <c r="W28" s="8" t="str">
        <f>IF($A28="","",SUMIFS('Player Game Log'!$M$4:$M$603,'Player Game Log'!$A$4:$A$603,A28))</f>
        <v/>
      </c>
      <c r="X28" s="8" t="str">
        <f>IF($A28="","",SUMIFS('Player Game Log'!$N$4:$N$603,'Player Game Log'!$A$4:$A$603,A28))</f>
        <v/>
      </c>
      <c r="Y28" s="8" t="str">
        <f>IF($A28="","",SUMIFS('Player Game Log'!$O$4:$O$603,'Player Game Log'!$A$4:$A$603,A28))</f>
        <v/>
      </c>
      <c r="Z28" s="8" t="str">
        <f>IF($A28="","",SUMIFS('Player Game Log'!$P$4:$P$603,'Player Game Log'!$A$4:$A$603,A28))</f>
        <v/>
      </c>
      <c r="AA28" s="8" t="str">
        <f>IF($A28="","",SUMIFS('Player Game Log'!$Q$4:$Q$603,'Player Game Log'!$A$4:$A$603,A28))</f>
        <v/>
      </c>
      <c r="AB28" s="8" t="str">
        <f>IF($A28="","",COUNTIFS('Player Game Log'!$A$4:$A$603,A28))</f>
        <v/>
      </c>
      <c r="AC28" s="10" t="str">
        <f>IF($A28="","",IF(COUNTIFS('Player Game Log'!$A$4:$A$603,A28)&gt;0,"Yes","No"))</f>
        <v/>
      </c>
    </row>
    <row r="29" spans="1:29" ht="15" customHeight="1">
      <c r="A29" s="4"/>
      <c r="B29" s="15"/>
      <c r="C29" s="4"/>
      <c r="D29" s="7"/>
      <c r="E29" s="7"/>
      <c r="F29" s="7"/>
      <c r="G29" s="7"/>
      <c r="H29" s="8" t="str">
        <f t="shared" si="0"/>
        <v/>
      </c>
      <c r="I29" s="8" t="str">
        <f t="shared" si="1"/>
        <v/>
      </c>
      <c r="J29" s="8" t="str">
        <f t="shared" si="2"/>
        <v/>
      </c>
      <c r="K29" s="8" t="str">
        <f t="shared" si="3"/>
        <v/>
      </c>
      <c r="L29" s="10" t="str">
        <f t="shared" si="4"/>
        <v/>
      </c>
      <c r="M29" s="8" t="str">
        <f t="shared" si="5"/>
        <v/>
      </c>
      <c r="N29" s="8" t="str">
        <f>IF($A29="","",SUMIFS('Player Game Log'!$F$4:$F$603,'Player Game Log'!$A$4:$A$603,A29))</f>
        <v/>
      </c>
      <c r="O29" s="8" t="str">
        <f>IF($A29="","",SUMIFS('Player Game Log'!$G$4:$G$603,'Player Game Log'!$A$4:$A$603,A29))</f>
        <v/>
      </c>
      <c r="P29" s="8" t="str">
        <f>IF($A29="","",SUMIFS('Player Game Log'!$H$4:$H$603,'Player Game Log'!$A$4:$A$603,A29))</f>
        <v/>
      </c>
      <c r="Q29" s="8" t="str">
        <f>IF($A29="","",SUMIFS('Player Game Log'!$I$4:$I$603,'Player Game Log'!$A$4:$A$603,A29))</f>
        <v/>
      </c>
      <c r="R29" s="8" t="str">
        <f>IF($A29="","",SUMIFS('Player Game Log'!$R$4:$R$603,'Player Game Log'!$A$4:$A$603,A29))</f>
        <v/>
      </c>
      <c r="S29" s="8" t="str">
        <f>IF($A29="","",SUMIFS('Player Game Log'!$S$4:$S$603,'Player Game Log'!$A$4:$A$603,A29))</f>
        <v/>
      </c>
      <c r="T29" s="8" t="str">
        <f>IF($A29="","",SUMIFS('Player Game Log'!$J$4:$J$603,'Player Game Log'!$A$4:$A$603,A29))</f>
        <v/>
      </c>
      <c r="U29" s="8" t="str">
        <f>IF($A29="","",SUMIFS('Player Game Log'!$K$4:$K$603,'Player Game Log'!$A$4:$A$603,A29))</f>
        <v/>
      </c>
      <c r="V29" s="8" t="str">
        <f>IF($A29="","",SUMIFS('Player Game Log'!$L$4:$L$603,'Player Game Log'!$A$4:$A$603,A29))</f>
        <v/>
      </c>
      <c r="W29" s="8" t="str">
        <f>IF($A29="","",SUMIFS('Player Game Log'!$M$4:$M$603,'Player Game Log'!$A$4:$A$603,A29))</f>
        <v/>
      </c>
      <c r="X29" s="8" t="str">
        <f>IF($A29="","",SUMIFS('Player Game Log'!$N$4:$N$603,'Player Game Log'!$A$4:$A$603,A29))</f>
        <v/>
      </c>
      <c r="Y29" s="8" t="str">
        <f>IF($A29="","",SUMIFS('Player Game Log'!$O$4:$O$603,'Player Game Log'!$A$4:$A$603,A29))</f>
        <v/>
      </c>
      <c r="Z29" s="8" t="str">
        <f>IF($A29="","",SUMIFS('Player Game Log'!$P$4:$P$603,'Player Game Log'!$A$4:$A$603,A29))</f>
        <v/>
      </c>
      <c r="AA29" s="8" t="str">
        <f>IF($A29="","",SUMIFS('Player Game Log'!$Q$4:$Q$603,'Player Game Log'!$A$4:$A$603,A29))</f>
        <v/>
      </c>
      <c r="AB29" s="8" t="str">
        <f>IF($A29="","",COUNTIFS('Player Game Log'!$A$4:$A$603,A29))</f>
        <v/>
      </c>
      <c r="AC29" s="10" t="str">
        <f>IF($A29="","",IF(COUNTIFS('Player Game Log'!$A$4:$A$603,A29)&gt;0,"Yes","No"))</f>
        <v/>
      </c>
    </row>
    <row r="30" spans="1:29" ht="15" customHeight="1">
      <c r="A30" s="4"/>
      <c r="B30" s="15"/>
      <c r="C30" s="4"/>
      <c r="D30" s="7"/>
      <c r="E30" s="7"/>
      <c r="F30" s="7"/>
      <c r="G30" s="7"/>
      <c r="H30" s="8" t="str">
        <f t="shared" si="0"/>
        <v/>
      </c>
      <c r="I30" s="8" t="str">
        <f t="shared" si="1"/>
        <v/>
      </c>
      <c r="J30" s="8" t="str">
        <f t="shared" si="2"/>
        <v/>
      </c>
      <c r="K30" s="8" t="str">
        <f t="shared" si="3"/>
        <v/>
      </c>
      <c r="L30" s="10" t="str">
        <f t="shared" si="4"/>
        <v/>
      </c>
      <c r="M30" s="8" t="str">
        <f t="shared" si="5"/>
        <v/>
      </c>
      <c r="N30" s="8" t="str">
        <f>IF($A30="","",SUMIFS('Player Game Log'!$F$4:$F$603,'Player Game Log'!$A$4:$A$603,A30))</f>
        <v/>
      </c>
      <c r="O30" s="8" t="str">
        <f>IF($A30="","",SUMIFS('Player Game Log'!$G$4:$G$603,'Player Game Log'!$A$4:$A$603,A30))</f>
        <v/>
      </c>
      <c r="P30" s="8" t="str">
        <f>IF($A30="","",SUMIFS('Player Game Log'!$H$4:$H$603,'Player Game Log'!$A$4:$A$603,A30))</f>
        <v/>
      </c>
      <c r="Q30" s="8" t="str">
        <f>IF($A30="","",SUMIFS('Player Game Log'!$I$4:$I$603,'Player Game Log'!$A$4:$A$603,A30))</f>
        <v/>
      </c>
      <c r="R30" s="8" t="str">
        <f>IF($A30="","",SUMIFS('Player Game Log'!$R$4:$R$603,'Player Game Log'!$A$4:$A$603,A30))</f>
        <v/>
      </c>
      <c r="S30" s="8" t="str">
        <f>IF($A30="","",SUMIFS('Player Game Log'!$S$4:$S$603,'Player Game Log'!$A$4:$A$603,A30))</f>
        <v/>
      </c>
      <c r="T30" s="8" t="str">
        <f>IF($A30="","",SUMIFS('Player Game Log'!$J$4:$J$603,'Player Game Log'!$A$4:$A$603,A30))</f>
        <v/>
      </c>
      <c r="U30" s="8" t="str">
        <f>IF($A30="","",SUMIFS('Player Game Log'!$K$4:$K$603,'Player Game Log'!$A$4:$A$603,A30))</f>
        <v/>
      </c>
      <c r="V30" s="8" t="str">
        <f>IF($A30="","",SUMIFS('Player Game Log'!$L$4:$L$603,'Player Game Log'!$A$4:$A$603,A30))</f>
        <v/>
      </c>
      <c r="W30" s="8" t="str">
        <f>IF($A30="","",SUMIFS('Player Game Log'!$M$4:$M$603,'Player Game Log'!$A$4:$A$603,A30))</f>
        <v/>
      </c>
      <c r="X30" s="8" t="str">
        <f>IF($A30="","",SUMIFS('Player Game Log'!$N$4:$N$603,'Player Game Log'!$A$4:$A$603,A30))</f>
        <v/>
      </c>
      <c r="Y30" s="8" t="str">
        <f>IF($A30="","",SUMIFS('Player Game Log'!$O$4:$O$603,'Player Game Log'!$A$4:$A$603,A30))</f>
        <v/>
      </c>
      <c r="Z30" s="8" t="str">
        <f>IF($A30="","",SUMIFS('Player Game Log'!$P$4:$P$603,'Player Game Log'!$A$4:$A$603,A30))</f>
        <v/>
      </c>
      <c r="AA30" s="8" t="str">
        <f>IF($A30="","",SUMIFS('Player Game Log'!$Q$4:$Q$603,'Player Game Log'!$A$4:$A$603,A30))</f>
        <v/>
      </c>
      <c r="AB30" s="8" t="str">
        <f>IF($A30="","",COUNTIFS('Player Game Log'!$A$4:$A$603,A30))</f>
        <v/>
      </c>
      <c r="AC30" s="10" t="str">
        <f>IF($A30="","",IF(COUNTIFS('Player Game Log'!$A$4:$A$603,A30)&gt;0,"Yes","No"))</f>
        <v/>
      </c>
    </row>
    <row r="31" spans="1:29" ht="15" customHeight="1">
      <c r="A31" s="4"/>
      <c r="B31" s="15"/>
      <c r="C31" s="4"/>
      <c r="D31" s="7"/>
      <c r="E31" s="7"/>
      <c r="F31" s="7"/>
      <c r="G31" s="7"/>
      <c r="H31" s="8" t="str">
        <f t="shared" si="0"/>
        <v/>
      </c>
      <c r="I31" s="8" t="str">
        <f t="shared" si="1"/>
        <v/>
      </c>
      <c r="J31" s="8" t="str">
        <f t="shared" si="2"/>
        <v/>
      </c>
      <c r="K31" s="8" t="str">
        <f t="shared" si="3"/>
        <v/>
      </c>
      <c r="L31" s="10" t="str">
        <f t="shared" si="4"/>
        <v/>
      </c>
      <c r="M31" s="8" t="str">
        <f t="shared" si="5"/>
        <v/>
      </c>
      <c r="N31" s="8" t="str">
        <f>IF($A31="","",SUMIFS('Player Game Log'!$F$4:$F$603,'Player Game Log'!$A$4:$A$603,A31))</f>
        <v/>
      </c>
      <c r="O31" s="8" t="str">
        <f>IF($A31="","",SUMIFS('Player Game Log'!$G$4:$G$603,'Player Game Log'!$A$4:$A$603,A31))</f>
        <v/>
      </c>
      <c r="P31" s="8" t="str">
        <f>IF($A31="","",SUMIFS('Player Game Log'!$H$4:$H$603,'Player Game Log'!$A$4:$A$603,A31))</f>
        <v/>
      </c>
      <c r="Q31" s="8" t="str">
        <f>IF($A31="","",SUMIFS('Player Game Log'!$I$4:$I$603,'Player Game Log'!$A$4:$A$603,A31))</f>
        <v/>
      </c>
      <c r="R31" s="8" t="str">
        <f>IF($A31="","",SUMIFS('Player Game Log'!$R$4:$R$603,'Player Game Log'!$A$4:$A$603,A31))</f>
        <v/>
      </c>
      <c r="S31" s="8" t="str">
        <f>IF($A31="","",SUMIFS('Player Game Log'!$S$4:$S$603,'Player Game Log'!$A$4:$A$603,A31))</f>
        <v/>
      </c>
      <c r="T31" s="8" t="str">
        <f>IF($A31="","",SUMIFS('Player Game Log'!$J$4:$J$603,'Player Game Log'!$A$4:$A$603,A31))</f>
        <v/>
      </c>
      <c r="U31" s="8" t="str">
        <f>IF($A31="","",SUMIFS('Player Game Log'!$K$4:$K$603,'Player Game Log'!$A$4:$A$603,A31))</f>
        <v/>
      </c>
      <c r="V31" s="8" t="str">
        <f>IF($A31="","",SUMIFS('Player Game Log'!$L$4:$L$603,'Player Game Log'!$A$4:$A$603,A31))</f>
        <v/>
      </c>
      <c r="W31" s="8" t="str">
        <f>IF($A31="","",SUMIFS('Player Game Log'!$M$4:$M$603,'Player Game Log'!$A$4:$A$603,A31))</f>
        <v/>
      </c>
      <c r="X31" s="8" t="str">
        <f>IF($A31="","",SUMIFS('Player Game Log'!$N$4:$N$603,'Player Game Log'!$A$4:$A$603,A31))</f>
        <v/>
      </c>
      <c r="Y31" s="8" t="str">
        <f>IF($A31="","",SUMIFS('Player Game Log'!$O$4:$O$603,'Player Game Log'!$A$4:$A$603,A31))</f>
        <v/>
      </c>
      <c r="Z31" s="8" t="str">
        <f>IF($A31="","",SUMIFS('Player Game Log'!$P$4:$P$603,'Player Game Log'!$A$4:$A$603,A31))</f>
        <v/>
      </c>
      <c r="AA31" s="8" t="str">
        <f>IF($A31="","",SUMIFS('Player Game Log'!$Q$4:$Q$603,'Player Game Log'!$A$4:$A$603,A31))</f>
        <v/>
      </c>
      <c r="AB31" s="8" t="str">
        <f>IF($A31="","",COUNTIFS('Player Game Log'!$A$4:$A$603,A31))</f>
        <v/>
      </c>
      <c r="AC31" s="10" t="str">
        <f>IF($A31="","",IF(COUNTIFS('Player Game Log'!$A$4:$A$603,A31)&gt;0,"Yes","No"))</f>
        <v/>
      </c>
    </row>
    <row r="32" spans="1:29" ht="15" customHeight="1">
      <c r="A32" s="4"/>
      <c r="B32" s="15"/>
      <c r="C32" s="4"/>
      <c r="D32" s="7"/>
      <c r="E32" s="7"/>
      <c r="F32" s="7"/>
      <c r="G32" s="7"/>
      <c r="H32" s="8" t="str">
        <f t="shared" si="0"/>
        <v/>
      </c>
      <c r="I32" s="8" t="str">
        <f t="shared" si="1"/>
        <v/>
      </c>
      <c r="J32" s="8" t="str">
        <f t="shared" si="2"/>
        <v/>
      </c>
      <c r="K32" s="8" t="str">
        <f t="shared" si="3"/>
        <v/>
      </c>
      <c r="L32" s="10" t="str">
        <f t="shared" si="4"/>
        <v/>
      </c>
      <c r="M32" s="8" t="str">
        <f t="shared" si="5"/>
        <v/>
      </c>
      <c r="N32" s="8" t="str">
        <f>IF($A32="","",SUMIFS('Player Game Log'!$F$4:$F$603,'Player Game Log'!$A$4:$A$603,A32))</f>
        <v/>
      </c>
      <c r="O32" s="8" t="str">
        <f>IF($A32="","",SUMIFS('Player Game Log'!$G$4:$G$603,'Player Game Log'!$A$4:$A$603,A32))</f>
        <v/>
      </c>
      <c r="P32" s="8" t="str">
        <f>IF($A32="","",SUMIFS('Player Game Log'!$H$4:$H$603,'Player Game Log'!$A$4:$A$603,A32))</f>
        <v/>
      </c>
      <c r="Q32" s="8" t="str">
        <f>IF($A32="","",SUMIFS('Player Game Log'!$I$4:$I$603,'Player Game Log'!$A$4:$A$603,A32))</f>
        <v/>
      </c>
      <c r="R32" s="8" t="str">
        <f>IF($A32="","",SUMIFS('Player Game Log'!$R$4:$R$603,'Player Game Log'!$A$4:$A$603,A32))</f>
        <v/>
      </c>
      <c r="S32" s="8" t="str">
        <f>IF($A32="","",SUMIFS('Player Game Log'!$S$4:$S$603,'Player Game Log'!$A$4:$A$603,A32))</f>
        <v/>
      </c>
      <c r="T32" s="8" t="str">
        <f>IF($A32="","",SUMIFS('Player Game Log'!$J$4:$J$603,'Player Game Log'!$A$4:$A$603,A32))</f>
        <v/>
      </c>
      <c r="U32" s="8" t="str">
        <f>IF($A32="","",SUMIFS('Player Game Log'!$K$4:$K$603,'Player Game Log'!$A$4:$A$603,A32))</f>
        <v/>
      </c>
      <c r="V32" s="8" t="str">
        <f>IF($A32="","",SUMIFS('Player Game Log'!$L$4:$L$603,'Player Game Log'!$A$4:$A$603,A32))</f>
        <v/>
      </c>
      <c r="W32" s="8" t="str">
        <f>IF($A32="","",SUMIFS('Player Game Log'!$M$4:$M$603,'Player Game Log'!$A$4:$A$603,A32))</f>
        <v/>
      </c>
      <c r="X32" s="8" t="str">
        <f>IF($A32="","",SUMIFS('Player Game Log'!$N$4:$N$603,'Player Game Log'!$A$4:$A$603,A32))</f>
        <v/>
      </c>
      <c r="Y32" s="8" t="str">
        <f>IF($A32="","",SUMIFS('Player Game Log'!$O$4:$O$603,'Player Game Log'!$A$4:$A$603,A32))</f>
        <v/>
      </c>
      <c r="Z32" s="8" t="str">
        <f>IF($A32="","",SUMIFS('Player Game Log'!$P$4:$P$603,'Player Game Log'!$A$4:$A$603,A32))</f>
        <v/>
      </c>
      <c r="AA32" s="8" t="str">
        <f>IF($A32="","",SUMIFS('Player Game Log'!$Q$4:$Q$603,'Player Game Log'!$A$4:$A$603,A32))</f>
        <v/>
      </c>
      <c r="AB32" s="8" t="str">
        <f>IF($A32="","",COUNTIFS('Player Game Log'!$A$4:$A$603,A32))</f>
        <v/>
      </c>
      <c r="AC32" s="10" t="str">
        <f>IF($A32="","",IF(COUNTIFS('Player Game Log'!$A$4:$A$603,A32)&gt;0,"Yes","No"))</f>
        <v/>
      </c>
    </row>
    <row r="33" spans="1:29" ht="15" customHeight="1">
      <c r="A33" s="4"/>
      <c r="B33" s="15"/>
      <c r="C33" s="4"/>
      <c r="D33" s="7"/>
      <c r="E33" s="7"/>
      <c r="F33" s="7"/>
      <c r="G33" s="7"/>
      <c r="H33" s="8" t="str">
        <f t="shared" si="0"/>
        <v/>
      </c>
      <c r="I33" s="8" t="str">
        <f t="shared" si="1"/>
        <v/>
      </c>
      <c r="J33" s="8" t="str">
        <f t="shared" si="2"/>
        <v/>
      </c>
      <c r="K33" s="8" t="str">
        <f t="shared" si="3"/>
        <v/>
      </c>
      <c r="L33" s="10" t="str">
        <f t="shared" si="4"/>
        <v/>
      </c>
      <c r="M33" s="8" t="str">
        <f t="shared" si="5"/>
        <v/>
      </c>
      <c r="N33" s="8" t="str">
        <f>IF($A33="","",SUMIFS('Player Game Log'!$F$4:$F$603,'Player Game Log'!$A$4:$A$603,A33))</f>
        <v/>
      </c>
      <c r="O33" s="8" t="str">
        <f>IF($A33="","",SUMIFS('Player Game Log'!$G$4:$G$603,'Player Game Log'!$A$4:$A$603,A33))</f>
        <v/>
      </c>
      <c r="P33" s="8" t="str">
        <f>IF($A33="","",SUMIFS('Player Game Log'!$H$4:$H$603,'Player Game Log'!$A$4:$A$603,A33))</f>
        <v/>
      </c>
      <c r="Q33" s="8" t="str">
        <f>IF($A33="","",SUMIFS('Player Game Log'!$I$4:$I$603,'Player Game Log'!$A$4:$A$603,A33))</f>
        <v/>
      </c>
      <c r="R33" s="8" t="str">
        <f>IF($A33="","",SUMIFS('Player Game Log'!$R$4:$R$603,'Player Game Log'!$A$4:$A$603,A33))</f>
        <v/>
      </c>
      <c r="S33" s="8" t="str">
        <f>IF($A33="","",SUMIFS('Player Game Log'!$S$4:$S$603,'Player Game Log'!$A$4:$A$603,A33))</f>
        <v/>
      </c>
      <c r="T33" s="8" t="str">
        <f>IF($A33="","",SUMIFS('Player Game Log'!$J$4:$J$603,'Player Game Log'!$A$4:$A$603,A33))</f>
        <v/>
      </c>
      <c r="U33" s="8" t="str">
        <f>IF($A33="","",SUMIFS('Player Game Log'!$K$4:$K$603,'Player Game Log'!$A$4:$A$603,A33))</f>
        <v/>
      </c>
      <c r="V33" s="8" t="str">
        <f>IF($A33="","",SUMIFS('Player Game Log'!$L$4:$L$603,'Player Game Log'!$A$4:$A$603,A33))</f>
        <v/>
      </c>
      <c r="W33" s="8" t="str">
        <f>IF($A33="","",SUMIFS('Player Game Log'!$M$4:$M$603,'Player Game Log'!$A$4:$A$603,A33))</f>
        <v/>
      </c>
      <c r="X33" s="8" t="str">
        <f>IF($A33="","",SUMIFS('Player Game Log'!$N$4:$N$603,'Player Game Log'!$A$4:$A$603,A33))</f>
        <v/>
      </c>
      <c r="Y33" s="8" t="str">
        <f>IF($A33="","",SUMIFS('Player Game Log'!$O$4:$O$603,'Player Game Log'!$A$4:$A$603,A33))</f>
        <v/>
      </c>
      <c r="Z33" s="8" t="str">
        <f>IF($A33="","",SUMIFS('Player Game Log'!$P$4:$P$603,'Player Game Log'!$A$4:$A$603,A33))</f>
        <v/>
      </c>
      <c r="AA33" s="8" t="str">
        <f>IF($A33="","",SUMIFS('Player Game Log'!$Q$4:$Q$603,'Player Game Log'!$A$4:$A$603,A33))</f>
        <v/>
      </c>
      <c r="AB33" s="8" t="str">
        <f>IF($A33="","",COUNTIFS('Player Game Log'!$A$4:$A$603,A33))</f>
        <v/>
      </c>
      <c r="AC33" s="10" t="str">
        <f>IF($A33="","",IF(COUNTIFS('Player Game Log'!$A$4:$A$603,A33)&gt;0,"Yes","No"))</f>
        <v/>
      </c>
    </row>
    <row r="34" spans="1:29" ht="15" customHeight="1">
      <c r="A34" s="4"/>
      <c r="B34" s="15"/>
      <c r="C34" s="4"/>
      <c r="D34" s="7"/>
      <c r="E34" s="7"/>
      <c r="F34" s="7"/>
      <c r="G34" s="7"/>
      <c r="H34" s="8" t="str">
        <f t="shared" si="0"/>
        <v/>
      </c>
      <c r="I34" s="8" t="str">
        <f t="shared" si="1"/>
        <v/>
      </c>
      <c r="J34" s="8" t="str">
        <f t="shared" si="2"/>
        <v/>
      </c>
      <c r="K34" s="8" t="str">
        <f t="shared" si="3"/>
        <v/>
      </c>
      <c r="L34" s="10" t="str">
        <f t="shared" si="4"/>
        <v/>
      </c>
      <c r="M34" s="8" t="str">
        <f t="shared" si="5"/>
        <v/>
      </c>
      <c r="N34" s="8" t="str">
        <f>IF($A34="","",SUMIFS('Player Game Log'!$F$4:$F$603,'Player Game Log'!$A$4:$A$603,A34))</f>
        <v/>
      </c>
      <c r="O34" s="8" t="str">
        <f>IF($A34="","",SUMIFS('Player Game Log'!$G$4:$G$603,'Player Game Log'!$A$4:$A$603,A34))</f>
        <v/>
      </c>
      <c r="P34" s="8" t="str">
        <f>IF($A34="","",SUMIFS('Player Game Log'!$H$4:$H$603,'Player Game Log'!$A$4:$A$603,A34))</f>
        <v/>
      </c>
      <c r="Q34" s="8" t="str">
        <f>IF($A34="","",SUMIFS('Player Game Log'!$I$4:$I$603,'Player Game Log'!$A$4:$A$603,A34))</f>
        <v/>
      </c>
      <c r="R34" s="8" t="str">
        <f>IF($A34="","",SUMIFS('Player Game Log'!$R$4:$R$603,'Player Game Log'!$A$4:$A$603,A34))</f>
        <v/>
      </c>
      <c r="S34" s="8" t="str">
        <f>IF($A34="","",SUMIFS('Player Game Log'!$S$4:$S$603,'Player Game Log'!$A$4:$A$603,A34))</f>
        <v/>
      </c>
      <c r="T34" s="8" t="str">
        <f>IF($A34="","",SUMIFS('Player Game Log'!$J$4:$J$603,'Player Game Log'!$A$4:$A$603,A34))</f>
        <v/>
      </c>
      <c r="U34" s="8" t="str">
        <f>IF($A34="","",SUMIFS('Player Game Log'!$K$4:$K$603,'Player Game Log'!$A$4:$A$603,A34))</f>
        <v/>
      </c>
      <c r="V34" s="8" t="str">
        <f>IF($A34="","",SUMIFS('Player Game Log'!$L$4:$L$603,'Player Game Log'!$A$4:$A$603,A34))</f>
        <v/>
      </c>
      <c r="W34" s="8" t="str">
        <f>IF($A34="","",SUMIFS('Player Game Log'!$M$4:$M$603,'Player Game Log'!$A$4:$A$603,A34))</f>
        <v/>
      </c>
      <c r="X34" s="8" t="str">
        <f>IF($A34="","",SUMIFS('Player Game Log'!$N$4:$N$603,'Player Game Log'!$A$4:$A$603,A34))</f>
        <v/>
      </c>
      <c r="Y34" s="8" t="str">
        <f>IF($A34="","",SUMIFS('Player Game Log'!$O$4:$O$603,'Player Game Log'!$A$4:$A$603,A34))</f>
        <v/>
      </c>
      <c r="Z34" s="8" t="str">
        <f>IF($A34="","",SUMIFS('Player Game Log'!$P$4:$P$603,'Player Game Log'!$A$4:$A$603,A34))</f>
        <v/>
      </c>
      <c r="AA34" s="8" t="str">
        <f>IF($A34="","",SUMIFS('Player Game Log'!$Q$4:$Q$603,'Player Game Log'!$A$4:$A$603,A34))</f>
        <v/>
      </c>
      <c r="AB34" s="8" t="str">
        <f>IF($A34="","",COUNTIFS('Player Game Log'!$A$4:$A$603,A34))</f>
        <v/>
      </c>
      <c r="AC34" s="10" t="str">
        <f>IF($A34="","",IF(COUNTIFS('Player Game Log'!$A$4:$A$603,A34)&gt;0,"Yes","No"))</f>
        <v/>
      </c>
    </row>
    <row r="35" spans="1:29" ht="15" customHeight="1">
      <c r="A35" s="4"/>
      <c r="B35" s="15"/>
      <c r="C35" s="4"/>
      <c r="D35" s="7"/>
      <c r="E35" s="7"/>
      <c r="F35" s="7"/>
      <c r="G35" s="7"/>
      <c r="H35" s="8" t="str">
        <f t="shared" si="0"/>
        <v/>
      </c>
      <c r="I35" s="8" t="str">
        <f t="shared" si="1"/>
        <v/>
      </c>
      <c r="J35" s="8" t="str">
        <f t="shared" si="2"/>
        <v/>
      </c>
      <c r="K35" s="8" t="str">
        <f t="shared" si="3"/>
        <v/>
      </c>
      <c r="L35" s="10" t="str">
        <f t="shared" si="4"/>
        <v/>
      </c>
      <c r="M35" s="8" t="str">
        <f t="shared" si="5"/>
        <v/>
      </c>
      <c r="N35" s="8" t="str">
        <f>IF($A35="","",SUMIFS('Player Game Log'!$F$4:$F$603,'Player Game Log'!$A$4:$A$603,A35))</f>
        <v/>
      </c>
      <c r="O35" s="8" t="str">
        <f>IF($A35="","",SUMIFS('Player Game Log'!$G$4:$G$603,'Player Game Log'!$A$4:$A$603,A35))</f>
        <v/>
      </c>
      <c r="P35" s="8" t="str">
        <f>IF($A35="","",SUMIFS('Player Game Log'!$H$4:$H$603,'Player Game Log'!$A$4:$A$603,A35))</f>
        <v/>
      </c>
      <c r="Q35" s="8" t="str">
        <f>IF($A35="","",SUMIFS('Player Game Log'!$I$4:$I$603,'Player Game Log'!$A$4:$A$603,A35))</f>
        <v/>
      </c>
      <c r="R35" s="8" t="str">
        <f>IF($A35="","",SUMIFS('Player Game Log'!$R$4:$R$603,'Player Game Log'!$A$4:$A$603,A35))</f>
        <v/>
      </c>
      <c r="S35" s="8" t="str">
        <f>IF($A35="","",SUMIFS('Player Game Log'!$S$4:$S$603,'Player Game Log'!$A$4:$A$603,A35))</f>
        <v/>
      </c>
      <c r="T35" s="8" t="str">
        <f>IF($A35="","",SUMIFS('Player Game Log'!$J$4:$J$603,'Player Game Log'!$A$4:$A$603,A35))</f>
        <v/>
      </c>
      <c r="U35" s="8" t="str">
        <f>IF($A35="","",SUMIFS('Player Game Log'!$K$4:$K$603,'Player Game Log'!$A$4:$A$603,A35))</f>
        <v/>
      </c>
      <c r="V35" s="8" t="str">
        <f>IF($A35="","",SUMIFS('Player Game Log'!$L$4:$L$603,'Player Game Log'!$A$4:$A$603,A35))</f>
        <v/>
      </c>
      <c r="W35" s="8" t="str">
        <f>IF($A35="","",SUMIFS('Player Game Log'!$M$4:$M$603,'Player Game Log'!$A$4:$A$603,A35))</f>
        <v/>
      </c>
      <c r="X35" s="8" t="str">
        <f>IF($A35="","",SUMIFS('Player Game Log'!$N$4:$N$603,'Player Game Log'!$A$4:$A$603,A35))</f>
        <v/>
      </c>
      <c r="Y35" s="8" t="str">
        <f>IF($A35="","",SUMIFS('Player Game Log'!$O$4:$O$603,'Player Game Log'!$A$4:$A$603,A35))</f>
        <v/>
      </c>
      <c r="Z35" s="8" t="str">
        <f>IF($A35="","",SUMIFS('Player Game Log'!$P$4:$P$603,'Player Game Log'!$A$4:$A$603,A35))</f>
        <v/>
      </c>
      <c r="AA35" s="8" t="str">
        <f>IF($A35="","",SUMIFS('Player Game Log'!$Q$4:$Q$603,'Player Game Log'!$A$4:$A$603,A35))</f>
        <v/>
      </c>
      <c r="AB35" s="8" t="str">
        <f>IF($A35="","",COUNTIFS('Player Game Log'!$A$4:$A$603,A35))</f>
        <v/>
      </c>
      <c r="AC35" s="10" t="str">
        <f>IF($A35="","",IF(COUNTIFS('Player Game Log'!$A$4:$A$603,A35)&gt;0,"Yes","No"))</f>
        <v/>
      </c>
    </row>
    <row r="36" spans="1:29" ht="15" customHeight="1">
      <c r="A36" s="4"/>
      <c r="B36" s="15"/>
      <c r="C36" s="4"/>
      <c r="D36" s="7"/>
      <c r="E36" s="7"/>
      <c r="F36" s="7"/>
      <c r="G36" s="7"/>
      <c r="H36" s="8" t="str">
        <f t="shared" ref="H36:H67" si="6">IF($A36="","",IF(D36="","",D36))</f>
        <v/>
      </c>
      <c r="I36" s="8" t="str">
        <f t="shared" ref="I36:I67" si="7">IF($A36="","",IF(OR(D36="",E36=""),"",E36-D36))</f>
        <v/>
      </c>
      <c r="J36" s="8" t="str">
        <f t="shared" ref="J36:J67" si="8">IF($A36="","",IF(F36="","",F36))</f>
        <v/>
      </c>
      <c r="K36" s="8" t="str">
        <f t="shared" ref="K36:K67" si="9">IF($A36="","",IF(OR(F36="",G36=""),"",G36-F36))</f>
        <v/>
      </c>
      <c r="L36" s="10" t="str">
        <f t="shared" ref="L36:L67" si="10">IF($A36="","",IF(OR(E36="",G36=""),"",IF(E36&gt;G36,"W",IF(E36&lt;G36,"L","T"))))</f>
        <v/>
      </c>
      <c r="M36" s="8" t="str">
        <f t="shared" ref="M36:M67" si="11">IF($A36="","",IF(OR(E36="",G36=""),"",E36-G36))</f>
        <v/>
      </c>
      <c r="N36" s="8" t="str">
        <f>IF($A36="","",SUMIFS('Player Game Log'!$F$4:$F$603,'Player Game Log'!$A$4:$A$603,A36))</f>
        <v/>
      </c>
      <c r="O36" s="8" t="str">
        <f>IF($A36="","",SUMIFS('Player Game Log'!$G$4:$G$603,'Player Game Log'!$A$4:$A$603,A36))</f>
        <v/>
      </c>
      <c r="P36" s="8" t="str">
        <f>IF($A36="","",SUMIFS('Player Game Log'!$H$4:$H$603,'Player Game Log'!$A$4:$A$603,A36))</f>
        <v/>
      </c>
      <c r="Q36" s="8" t="str">
        <f>IF($A36="","",SUMIFS('Player Game Log'!$I$4:$I$603,'Player Game Log'!$A$4:$A$603,A36))</f>
        <v/>
      </c>
      <c r="R36" s="8" t="str">
        <f>IF($A36="","",SUMIFS('Player Game Log'!$R$4:$R$603,'Player Game Log'!$A$4:$A$603,A36))</f>
        <v/>
      </c>
      <c r="S36" s="8" t="str">
        <f>IF($A36="","",SUMIFS('Player Game Log'!$S$4:$S$603,'Player Game Log'!$A$4:$A$603,A36))</f>
        <v/>
      </c>
      <c r="T36" s="8" t="str">
        <f>IF($A36="","",SUMIFS('Player Game Log'!$J$4:$J$603,'Player Game Log'!$A$4:$A$603,A36))</f>
        <v/>
      </c>
      <c r="U36" s="8" t="str">
        <f>IF($A36="","",SUMIFS('Player Game Log'!$K$4:$K$603,'Player Game Log'!$A$4:$A$603,A36))</f>
        <v/>
      </c>
      <c r="V36" s="8" t="str">
        <f>IF($A36="","",SUMIFS('Player Game Log'!$L$4:$L$603,'Player Game Log'!$A$4:$A$603,A36))</f>
        <v/>
      </c>
      <c r="W36" s="8" t="str">
        <f>IF($A36="","",SUMIFS('Player Game Log'!$M$4:$M$603,'Player Game Log'!$A$4:$A$603,A36))</f>
        <v/>
      </c>
      <c r="X36" s="8" t="str">
        <f>IF($A36="","",SUMIFS('Player Game Log'!$N$4:$N$603,'Player Game Log'!$A$4:$A$603,A36))</f>
        <v/>
      </c>
      <c r="Y36" s="8" t="str">
        <f>IF($A36="","",SUMIFS('Player Game Log'!$O$4:$O$603,'Player Game Log'!$A$4:$A$603,A36))</f>
        <v/>
      </c>
      <c r="Z36" s="8" t="str">
        <f>IF($A36="","",SUMIFS('Player Game Log'!$P$4:$P$603,'Player Game Log'!$A$4:$A$603,A36))</f>
        <v/>
      </c>
      <c r="AA36" s="8" t="str">
        <f>IF($A36="","",SUMIFS('Player Game Log'!$Q$4:$Q$603,'Player Game Log'!$A$4:$A$603,A36))</f>
        <v/>
      </c>
      <c r="AB36" s="8" t="str">
        <f>IF($A36="","",COUNTIFS('Player Game Log'!$A$4:$A$603,A36))</f>
        <v/>
      </c>
      <c r="AC36" s="10" t="str">
        <f>IF($A36="","",IF(COUNTIFS('Player Game Log'!$A$4:$A$603,A36)&gt;0,"Yes","No"))</f>
        <v/>
      </c>
    </row>
    <row r="37" spans="1:29" ht="15" customHeight="1">
      <c r="A37" s="4"/>
      <c r="B37" s="15"/>
      <c r="C37" s="4"/>
      <c r="D37" s="7"/>
      <c r="E37" s="7"/>
      <c r="F37" s="7"/>
      <c r="G37" s="7"/>
      <c r="H37" s="8" t="str">
        <f t="shared" si="6"/>
        <v/>
      </c>
      <c r="I37" s="8" t="str">
        <f t="shared" si="7"/>
        <v/>
      </c>
      <c r="J37" s="8" t="str">
        <f t="shared" si="8"/>
        <v/>
      </c>
      <c r="K37" s="8" t="str">
        <f t="shared" si="9"/>
        <v/>
      </c>
      <c r="L37" s="10" t="str">
        <f t="shared" si="10"/>
        <v/>
      </c>
      <c r="M37" s="8" t="str">
        <f t="shared" si="11"/>
        <v/>
      </c>
      <c r="N37" s="8" t="str">
        <f>IF($A37="","",SUMIFS('Player Game Log'!$F$4:$F$603,'Player Game Log'!$A$4:$A$603,A37))</f>
        <v/>
      </c>
      <c r="O37" s="8" t="str">
        <f>IF($A37="","",SUMIFS('Player Game Log'!$G$4:$G$603,'Player Game Log'!$A$4:$A$603,A37))</f>
        <v/>
      </c>
      <c r="P37" s="8" t="str">
        <f>IF($A37="","",SUMIFS('Player Game Log'!$H$4:$H$603,'Player Game Log'!$A$4:$A$603,A37))</f>
        <v/>
      </c>
      <c r="Q37" s="8" t="str">
        <f>IF($A37="","",SUMIFS('Player Game Log'!$I$4:$I$603,'Player Game Log'!$A$4:$A$603,A37))</f>
        <v/>
      </c>
      <c r="R37" s="8" t="str">
        <f>IF($A37="","",SUMIFS('Player Game Log'!$R$4:$R$603,'Player Game Log'!$A$4:$A$603,A37))</f>
        <v/>
      </c>
      <c r="S37" s="8" t="str">
        <f>IF($A37="","",SUMIFS('Player Game Log'!$S$4:$S$603,'Player Game Log'!$A$4:$A$603,A37))</f>
        <v/>
      </c>
      <c r="T37" s="8" t="str">
        <f>IF($A37="","",SUMIFS('Player Game Log'!$J$4:$J$603,'Player Game Log'!$A$4:$A$603,A37))</f>
        <v/>
      </c>
      <c r="U37" s="8" t="str">
        <f>IF($A37="","",SUMIFS('Player Game Log'!$K$4:$K$603,'Player Game Log'!$A$4:$A$603,A37))</f>
        <v/>
      </c>
      <c r="V37" s="8" t="str">
        <f>IF($A37="","",SUMIFS('Player Game Log'!$L$4:$L$603,'Player Game Log'!$A$4:$A$603,A37))</f>
        <v/>
      </c>
      <c r="W37" s="8" t="str">
        <f>IF($A37="","",SUMIFS('Player Game Log'!$M$4:$M$603,'Player Game Log'!$A$4:$A$603,A37))</f>
        <v/>
      </c>
      <c r="X37" s="8" t="str">
        <f>IF($A37="","",SUMIFS('Player Game Log'!$N$4:$N$603,'Player Game Log'!$A$4:$A$603,A37))</f>
        <v/>
      </c>
      <c r="Y37" s="8" t="str">
        <f>IF($A37="","",SUMIFS('Player Game Log'!$O$4:$O$603,'Player Game Log'!$A$4:$A$603,A37))</f>
        <v/>
      </c>
      <c r="Z37" s="8" t="str">
        <f>IF($A37="","",SUMIFS('Player Game Log'!$P$4:$P$603,'Player Game Log'!$A$4:$A$603,A37))</f>
        <v/>
      </c>
      <c r="AA37" s="8" t="str">
        <f>IF($A37="","",SUMIFS('Player Game Log'!$Q$4:$Q$603,'Player Game Log'!$A$4:$A$603,A37))</f>
        <v/>
      </c>
      <c r="AB37" s="8" t="str">
        <f>IF($A37="","",COUNTIFS('Player Game Log'!$A$4:$A$603,A37))</f>
        <v/>
      </c>
      <c r="AC37" s="10" t="str">
        <f>IF($A37="","",IF(COUNTIFS('Player Game Log'!$A$4:$A$603,A37)&gt;0,"Yes","No"))</f>
        <v/>
      </c>
    </row>
    <row r="38" spans="1:29" ht="15" customHeight="1">
      <c r="A38" s="4"/>
      <c r="B38" s="15"/>
      <c r="C38" s="4"/>
      <c r="D38" s="7"/>
      <c r="E38" s="7"/>
      <c r="F38" s="7"/>
      <c r="G38" s="7"/>
      <c r="H38" s="8" t="str">
        <f t="shared" si="6"/>
        <v/>
      </c>
      <c r="I38" s="8" t="str">
        <f t="shared" si="7"/>
        <v/>
      </c>
      <c r="J38" s="8" t="str">
        <f t="shared" si="8"/>
        <v/>
      </c>
      <c r="K38" s="8" t="str">
        <f t="shared" si="9"/>
        <v/>
      </c>
      <c r="L38" s="10" t="str">
        <f t="shared" si="10"/>
        <v/>
      </c>
      <c r="M38" s="8" t="str">
        <f t="shared" si="11"/>
        <v/>
      </c>
      <c r="N38" s="8" t="str">
        <f>IF($A38="","",SUMIFS('Player Game Log'!$F$4:$F$603,'Player Game Log'!$A$4:$A$603,A38))</f>
        <v/>
      </c>
      <c r="O38" s="8" t="str">
        <f>IF($A38="","",SUMIFS('Player Game Log'!$G$4:$G$603,'Player Game Log'!$A$4:$A$603,A38))</f>
        <v/>
      </c>
      <c r="P38" s="8" t="str">
        <f>IF($A38="","",SUMIFS('Player Game Log'!$H$4:$H$603,'Player Game Log'!$A$4:$A$603,A38))</f>
        <v/>
      </c>
      <c r="Q38" s="8" t="str">
        <f>IF($A38="","",SUMIFS('Player Game Log'!$I$4:$I$603,'Player Game Log'!$A$4:$A$603,A38))</f>
        <v/>
      </c>
      <c r="R38" s="8" t="str">
        <f>IF($A38="","",SUMIFS('Player Game Log'!$R$4:$R$603,'Player Game Log'!$A$4:$A$603,A38))</f>
        <v/>
      </c>
      <c r="S38" s="8" t="str">
        <f>IF($A38="","",SUMIFS('Player Game Log'!$S$4:$S$603,'Player Game Log'!$A$4:$A$603,A38))</f>
        <v/>
      </c>
      <c r="T38" s="8" t="str">
        <f>IF($A38="","",SUMIFS('Player Game Log'!$J$4:$J$603,'Player Game Log'!$A$4:$A$603,A38))</f>
        <v/>
      </c>
      <c r="U38" s="8" t="str">
        <f>IF($A38="","",SUMIFS('Player Game Log'!$K$4:$K$603,'Player Game Log'!$A$4:$A$603,A38))</f>
        <v/>
      </c>
      <c r="V38" s="8" t="str">
        <f>IF($A38="","",SUMIFS('Player Game Log'!$L$4:$L$603,'Player Game Log'!$A$4:$A$603,A38))</f>
        <v/>
      </c>
      <c r="W38" s="8" t="str">
        <f>IF($A38="","",SUMIFS('Player Game Log'!$M$4:$M$603,'Player Game Log'!$A$4:$A$603,A38))</f>
        <v/>
      </c>
      <c r="X38" s="8" t="str">
        <f>IF($A38="","",SUMIFS('Player Game Log'!$N$4:$N$603,'Player Game Log'!$A$4:$A$603,A38))</f>
        <v/>
      </c>
      <c r="Y38" s="8" t="str">
        <f>IF($A38="","",SUMIFS('Player Game Log'!$O$4:$O$603,'Player Game Log'!$A$4:$A$603,A38))</f>
        <v/>
      </c>
      <c r="Z38" s="8" t="str">
        <f>IF($A38="","",SUMIFS('Player Game Log'!$P$4:$P$603,'Player Game Log'!$A$4:$A$603,A38))</f>
        <v/>
      </c>
      <c r="AA38" s="8" t="str">
        <f>IF($A38="","",SUMIFS('Player Game Log'!$Q$4:$Q$603,'Player Game Log'!$A$4:$A$603,A38))</f>
        <v/>
      </c>
      <c r="AB38" s="8" t="str">
        <f>IF($A38="","",COUNTIFS('Player Game Log'!$A$4:$A$603,A38))</f>
        <v/>
      </c>
      <c r="AC38" s="10" t="str">
        <f>IF($A38="","",IF(COUNTIFS('Player Game Log'!$A$4:$A$603,A38)&gt;0,"Yes","No"))</f>
        <v/>
      </c>
    </row>
    <row r="39" spans="1:29" ht="15" customHeight="1">
      <c r="A39" s="4"/>
      <c r="B39" s="15"/>
      <c r="C39" s="4"/>
      <c r="D39" s="7"/>
      <c r="E39" s="7"/>
      <c r="F39" s="7"/>
      <c r="G39" s="7"/>
      <c r="H39" s="8" t="str">
        <f t="shared" si="6"/>
        <v/>
      </c>
      <c r="I39" s="8" t="str">
        <f t="shared" si="7"/>
        <v/>
      </c>
      <c r="J39" s="8" t="str">
        <f t="shared" si="8"/>
        <v/>
      </c>
      <c r="K39" s="8" t="str">
        <f t="shared" si="9"/>
        <v/>
      </c>
      <c r="L39" s="10" t="str">
        <f t="shared" si="10"/>
        <v/>
      </c>
      <c r="M39" s="8" t="str">
        <f t="shared" si="11"/>
        <v/>
      </c>
      <c r="N39" s="8" t="str">
        <f>IF($A39="","",SUMIFS('Player Game Log'!$F$4:$F$603,'Player Game Log'!$A$4:$A$603,A39))</f>
        <v/>
      </c>
      <c r="O39" s="8" t="str">
        <f>IF($A39="","",SUMIFS('Player Game Log'!$G$4:$G$603,'Player Game Log'!$A$4:$A$603,A39))</f>
        <v/>
      </c>
      <c r="P39" s="8" t="str">
        <f>IF($A39="","",SUMIFS('Player Game Log'!$H$4:$H$603,'Player Game Log'!$A$4:$A$603,A39))</f>
        <v/>
      </c>
      <c r="Q39" s="8" t="str">
        <f>IF($A39="","",SUMIFS('Player Game Log'!$I$4:$I$603,'Player Game Log'!$A$4:$A$603,A39))</f>
        <v/>
      </c>
      <c r="R39" s="8" t="str">
        <f>IF($A39="","",SUMIFS('Player Game Log'!$R$4:$R$603,'Player Game Log'!$A$4:$A$603,A39))</f>
        <v/>
      </c>
      <c r="S39" s="8" t="str">
        <f>IF($A39="","",SUMIFS('Player Game Log'!$S$4:$S$603,'Player Game Log'!$A$4:$A$603,A39))</f>
        <v/>
      </c>
      <c r="T39" s="8" t="str">
        <f>IF($A39="","",SUMIFS('Player Game Log'!$J$4:$J$603,'Player Game Log'!$A$4:$A$603,A39))</f>
        <v/>
      </c>
      <c r="U39" s="8" t="str">
        <f>IF($A39="","",SUMIFS('Player Game Log'!$K$4:$K$603,'Player Game Log'!$A$4:$A$603,A39))</f>
        <v/>
      </c>
      <c r="V39" s="8" t="str">
        <f>IF($A39="","",SUMIFS('Player Game Log'!$L$4:$L$603,'Player Game Log'!$A$4:$A$603,A39))</f>
        <v/>
      </c>
      <c r="W39" s="8" t="str">
        <f>IF($A39="","",SUMIFS('Player Game Log'!$M$4:$M$603,'Player Game Log'!$A$4:$A$603,A39))</f>
        <v/>
      </c>
      <c r="X39" s="8" t="str">
        <f>IF($A39="","",SUMIFS('Player Game Log'!$N$4:$N$603,'Player Game Log'!$A$4:$A$603,A39))</f>
        <v/>
      </c>
      <c r="Y39" s="8" t="str">
        <f>IF($A39="","",SUMIFS('Player Game Log'!$O$4:$O$603,'Player Game Log'!$A$4:$A$603,A39))</f>
        <v/>
      </c>
      <c r="Z39" s="8" t="str">
        <f>IF($A39="","",SUMIFS('Player Game Log'!$P$4:$P$603,'Player Game Log'!$A$4:$A$603,A39))</f>
        <v/>
      </c>
      <c r="AA39" s="8" t="str">
        <f>IF($A39="","",SUMIFS('Player Game Log'!$Q$4:$Q$603,'Player Game Log'!$A$4:$A$603,A39))</f>
        <v/>
      </c>
      <c r="AB39" s="8" t="str">
        <f>IF($A39="","",COUNTIFS('Player Game Log'!$A$4:$A$603,A39))</f>
        <v/>
      </c>
      <c r="AC39" s="10" t="str">
        <f>IF($A39="","",IF(COUNTIFS('Player Game Log'!$A$4:$A$603,A39)&gt;0,"Yes","No"))</f>
        <v/>
      </c>
    </row>
    <row r="40" spans="1:29" ht="15" customHeight="1">
      <c r="A40" s="4"/>
      <c r="B40" s="15"/>
      <c r="C40" s="4"/>
      <c r="D40" s="7"/>
      <c r="E40" s="7"/>
      <c r="F40" s="7"/>
      <c r="G40" s="7"/>
      <c r="H40" s="8" t="str">
        <f t="shared" si="6"/>
        <v/>
      </c>
      <c r="I40" s="8" t="str">
        <f t="shared" si="7"/>
        <v/>
      </c>
      <c r="J40" s="8" t="str">
        <f t="shared" si="8"/>
        <v/>
      </c>
      <c r="K40" s="8" t="str">
        <f t="shared" si="9"/>
        <v/>
      </c>
      <c r="L40" s="10" t="str">
        <f t="shared" si="10"/>
        <v/>
      </c>
      <c r="M40" s="8" t="str">
        <f t="shared" si="11"/>
        <v/>
      </c>
      <c r="N40" s="8" t="str">
        <f>IF($A40="","",SUMIFS('Player Game Log'!$F$4:$F$603,'Player Game Log'!$A$4:$A$603,A40))</f>
        <v/>
      </c>
      <c r="O40" s="8" t="str">
        <f>IF($A40="","",SUMIFS('Player Game Log'!$G$4:$G$603,'Player Game Log'!$A$4:$A$603,A40))</f>
        <v/>
      </c>
      <c r="P40" s="8" t="str">
        <f>IF($A40="","",SUMIFS('Player Game Log'!$H$4:$H$603,'Player Game Log'!$A$4:$A$603,A40))</f>
        <v/>
      </c>
      <c r="Q40" s="8" t="str">
        <f>IF($A40="","",SUMIFS('Player Game Log'!$I$4:$I$603,'Player Game Log'!$A$4:$A$603,A40))</f>
        <v/>
      </c>
      <c r="R40" s="8" t="str">
        <f>IF($A40="","",SUMIFS('Player Game Log'!$R$4:$R$603,'Player Game Log'!$A$4:$A$603,A40))</f>
        <v/>
      </c>
      <c r="S40" s="8" t="str">
        <f>IF($A40="","",SUMIFS('Player Game Log'!$S$4:$S$603,'Player Game Log'!$A$4:$A$603,A40))</f>
        <v/>
      </c>
      <c r="T40" s="8" t="str">
        <f>IF($A40="","",SUMIFS('Player Game Log'!$J$4:$J$603,'Player Game Log'!$A$4:$A$603,A40))</f>
        <v/>
      </c>
      <c r="U40" s="8" t="str">
        <f>IF($A40="","",SUMIFS('Player Game Log'!$K$4:$K$603,'Player Game Log'!$A$4:$A$603,A40))</f>
        <v/>
      </c>
      <c r="V40" s="8" t="str">
        <f>IF($A40="","",SUMIFS('Player Game Log'!$L$4:$L$603,'Player Game Log'!$A$4:$A$603,A40))</f>
        <v/>
      </c>
      <c r="W40" s="8" t="str">
        <f>IF($A40="","",SUMIFS('Player Game Log'!$M$4:$M$603,'Player Game Log'!$A$4:$A$603,A40))</f>
        <v/>
      </c>
      <c r="X40" s="8" t="str">
        <f>IF($A40="","",SUMIFS('Player Game Log'!$N$4:$N$603,'Player Game Log'!$A$4:$A$603,A40))</f>
        <v/>
      </c>
      <c r="Y40" s="8" t="str">
        <f>IF($A40="","",SUMIFS('Player Game Log'!$O$4:$O$603,'Player Game Log'!$A$4:$A$603,A40))</f>
        <v/>
      </c>
      <c r="Z40" s="8" t="str">
        <f>IF($A40="","",SUMIFS('Player Game Log'!$P$4:$P$603,'Player Game Log'!$A$4:$A$603,A40))</f>
        <v/>
      </c>
      <c r="AA40" s="8" t="str">
        <f>IF($A40="","",SUMIFS('Player Game Log'!$Q$4:$Q$603,'Player Game Log'!$A$4:$A$603,A40))</f>
        <v/>
      </c>
      <c r="AB40" s="8" t="str">
        <f>IF($A40="","",COUNTIFS('Player Game Log'!$A$4:$A$603,A40))</f>
        <v/>
      </c>
      <c r="AC40" s="10" t="str">
        <f>IF($A40="","",IF(COUNTIFS('Player Game Log'!$A$4:$A$603,A40)&gt;0,"Yes","No"))</f>
        <v/>
      </c>
    </row>
    <row r="41" spans="1:29" ht="15" customHeight="1">
      <c r="A41" s="4"/>
      <c r="B41" s="15"/>
      <c r="C41" s="4"/>
      <c r="D41" s="7"/>
      <c r="E41" s="7"/>
      <c r="F41" s="7"/>
      <c r="G41" s="7"/>
      <c r="H41" s="8" t="str">
        <f t="shared" si="6"/>
        <v/>
      </c>
      <c r="I41" s="8" t="str">
        <f t="shared" si="7"/>
        <v/>
      </c>
      <c r="J41" s="8" t="str">
        <f t="shared" si="8"/>
        <v/>
      </c>
      <c r="K41" s="8" t="str">
        <f t="shared" si="9"/>
        <v/>
      </c>
      <c r="L41" s="10" t="str">
        <f t="shared" si="10"/>
        <v/>
      </c>
      <c r="M41" s="8" t="str">
        <f t="shared" si="11"/>
        <v/>
      </c>
      <c r="N41" s="8" t="str">
        <f>IF($A41="","",SUMIFS('Player Game Log'!$F$4:$F$603,'Player Game Log'!$A$4:$A$603,A41))</f>
        <v/>
      </c>
      <c r="O41" s="8" t="str">
        <f>IF($A41="","",SUMIFS('Player Game Log'!$G$4:$G$603,'Player Game Log'!$A$4:$A$603,A41))</f>
        <v/>
      </c>
      <c r="P41" s="8" t="str">
        <f>IF($A41="","",SUMIFS('Player Game Log'!$H$4:$H$603,'Player Game Log'!$A$4:$A$603,A41))</f>
        <v/>
      </c>
      <c r="Q41" s="8" t="str">
        <f>IF($A41="","",SUMIFS('Player Game Log'!$I$4:$I$603,'Player Game Log'!$A$4:$A$603,A41))</f>
        <v/>
      </c>
      <c r="R41" s="8" t="str">
        <f>IF($A41="","",SUMIFS('Player Game Log'!$R$4:$R$603,'Player Game Log'!$A$4:$A$603,A41))</f>
        <v/>
      </c>
      <c r="S41" s="8" t="str">
        <f>IF($A41="","",SUMIFS('Player Game Log'!$S$4:$S$603,'Player Game Log'!$A$4:$A$603,A41))</f>
        <v/>
      </c>
      <c r="T41" s="8" t="str">
        <f>IF($A41="","",SUMIFS('Player Game Log'!$J$4:$J$603,'Player Game Log'!$A$4:$A$603,A41))</f>
        <v/>
      </c>
      <c r="U41" s="8" t="str">
        <f>IF($A41="","",SUMIFS('Player Game Log'!$K$4:$K$603,'Player Game Log'!$A$4:$A$603,A41))</f>
        <v/>
      </c>
      <c r="V41" s="8" t="str">
        <f>IF($A41="","",SUMIFS('Player Game Log'!$L$4:$L$603,'Player Game Log'!$A$4:$A$603,A41))</f>
        <v/>
      </c>
      <c r="W41" s="8" t="str">
        <f>IF($A41="","",SUMIFS('Player Game Log'!$M$4:$M$603,'Player Game Log'!$A$4:$A$603,A41))</f>
        <v/>
      </c>
      <c r="X41" s="8" t="str">
        <f>IF($A41="","",SUMIFS('Player Game Log'!$N$4:$N$603,'Player Game Log'!$A$4:$A$603,A41))</f>
        <v/>
      </c>
      <c r="Y41" s="8" t="str">
        <f>IF($A41="","",SUMIFS('Player Game Log'!$O$4:$O$603,'Player Game Log'!$A$4:$A$603,A41))</f>
        <v/>
      </c>
      <c r="Z41" s="8" t="str">
        <f>IF($A41="","",SUMIFS('Player Game Log'!$P$4:$P$603,'Player Game Log'!$A$4:$A$603,A41))</f>
        <v/>
      </c>
      <c r="AA41" s="8" t="str">
        <f>IF($A41="","",SUMIFS('Player Game Log'!$Q$4:$Q$603,'Player Game Log'!$A$4:$A$603,A41))</f>
        <v/>
      </c>
      <c r="AB41" s="8" t="str">
        <f>IF($A41="","",COUNTIFS('Player Game Log'!$A$4:$A$603,A41))</f>
        <v/>
      </c>
      <c r="AC41" s="10" t="str">
        <f>IF($A41="","",IF(COUNTIFS('Player Game Log'!$A$4:$A$603,A41)&gt;0,"Yes","No"))</f>
        <v/>
      </c>
    </row>
    <row r="42" spans="1:29" ht="15" customHeight="1">
      <c r="A42" s="4"/>
      <c r="B42" s="15"/>
      <c r="C42" s="4"/>
      <c r="D42" s="7"/>
      <c r="E42" s="7"/>
      <c r="F42" s="7"/>
      <c r="G42" s="7"/>
      <c r="H42" s="8" t="str">
        <f t="shared" si="6"/>
        <v/>
      </c>
      <c r="I42" s="8" t="str">
        <f t="shared" si="7"/>
        <v/>
      </c>
      <c r="J42" s="8" t="str">
        <f t="shared" si="8"/>
        <v/>
      </c>
      <c r="K42" s="8" t="str">
        <f t="shared" si="9"/>
        <v/>
      </c>
      <c r="L42" s="10" t="str">
        <f t="shared" si="10"/>
        <v/>
      </c>
      <c r="M42" s="8" t="str">
        <f t="shared" si="11"/>
        <v/>
      </c>
      <c r="N42" s="8" t="str">
        <f>IF($A42="","",SUMIFS('Player Game Log'!$F$4:$F$603,'Player Game Log'!$A$4:$A$603,A42))</f>
        <v/>
      </c>
      <c r="O42" s="8" t="str">
        <f>IF($A42="","",SUMIFS('Player Game Log'!$G$4:$G$603,'Player Game Log'!$A$4:$A$603,A42))</f>
        <v/>
      </c>
      <c r="P42" s="8" t="str">
        <f>IF($A42="","",SUMIFS('Player Game Log'!$H$4:$H$603,'Player Game Log'!$A$4:$A$603,A42))</f>
        <v/>
      </c>
      <c r="Q42" s="8" t="str">
        <f>IF($A42="","",SUMIFS('Player Game Log'!$I$4:$I$603,'Player Game Log'!$A$4:$A$603,A42))</f>
        <v/>
      </c>
      <c r="R42" s="8" t="str">
        <f>IF($A42="","",SUMIFS('Player Game Log'!$R$4:$R$603,'Player Game Log'!$A$4:$A$603,A42))</f>
        <v/>
      </c>
      <c r="S42" s="8" t="str">
        <f>IF($A42="","",SUMIFS('Player Game Log'!$S$4:$S$603,'Player Game Log'!$A$4:$A$603,A42))</f>
        <v/>
      </c>
      <c r="T42" s="8" t="str">
        <f>IF($A42="","",SUMIFS('Player Game Log'!$J$4:$J$603,'Player Game Log'!$A$4:$A$603,A42))</f>
        <v/>
      </c>
      <c r="U42" s="8" t="str">
        <f>IF($A42="","",SUMIFS('Player Game Log'!$K$4:$K$603,'Player Game Log'!$A$4:$A$603,A42))</f>
        <v/>
      </c>
      <c r="V42" s="8" t="str">
        <f>IF($A42="","",SUMIFS('Player Game Log'!$L$4:$L$603,'Player Game Log'!$A$4:$A$603,A42))</f>
        <v/>
      </c>
      <c r="W42" s="8" t="str">
        <f>IF($A42="","",SUMIFS('Player Game Log'!$M$4:$M$603,'Player Game Log'!$A$4:$A$603,A42))</f>
        <v/>
      </c>
      <c r="X42" s="8" t="str">
        <f>IF($A42="","",SUMIFS('Player Game Log'!$N$4:$N$603,'Player Game Log'!$A$4:$A$603,A42))</f>
        <v/>
      </c>
      <c r="Y42" s="8" t="str">
        <f>IF($A42="","",SUMIFS('Player Game Log'!$O$4:$O$603,'Player Game Log'!$A$4:$A$603,A42))</f>
        <v/>
      </c>
      <c r="Z42" s="8" t="str">
        <f>IF($A42="","",SUMIFS('Player Game Log'!$P$4:$P$603,'Player Game Log'!$A$4:$A$603,A42))</f>
        <v/>
      </c>
      <c r="AA42" s="8" t="str">
        <f>IF($A42="","",SUMIFS('Player Game Log'!$Q$4:$Q$603,'Player Game Log'!$A$4:$A$603,A42))</f>
        <v/>
      </c>
      <c r="AB42" s="8" t="str">
        <f>IF($A42="","",COUNTIFS('Player Game Log'!$A$4:$A$603,A42))</f>
        <v/>
      </c>
      <c r="AC42" s="10" t="str">
        <f>IF($A42="","",IF(COUNTIFS('Player Game Log'!$A$4:$A$603,A42)&gt;0,"Yes","No"))</f>
        <v/>
      </c>
    </row>
    <row r="43" spans="1:29" ht="15" customHeight="1">
      <c r="A43" s="4"/>
      <c r="B43" s="15"/>
      <c r="C43" s="4"/>
      <c r="D43" s="7"/>
      <c r="E43" s="7"/>
      <c r="F43" s="7"/>
      <c r="G43" s="7"/>
      <c r="H43" s="8" t="str">
        <f t="shared" si="6"/>
        <v/>
      </c>
      <c r="I43" s="8" t="str">
        <f t="shared" si="7"/>
        <v/>
      </c>
      <c r="J43" s="8" t="str">
        <f t="shared" si="8"/>
        <v/>
      </c>
      <c r="K43" s="8" t="str">
        <f t="shared" si="9"/>
        <v/>
      </c>
      <c r="L43" s="10" t="str">
        <f t="shared" si="10"/>
        <v/>
      </c>
      <c r="M43" s="8" t="str">
        <f t="shared" si="11"/>
        <v/>
      </c>
      <c r="N43" s="8" t="str">
        <f>IF($A43="","",SUMIFS('Player Game Log'!$F$4:$F$603,'Player Game Log'!$A$4:$A$603,A43))</f>
        <v/>
      </c>
      <c r="O43" s="8" t="str">
        <f>IF($A43="","",SUMIFS('Player Game Log'!$G$4:$G$603,'Player Game Log'!$A$4:$A$603,A43))</f>
        <v/>
      </c>
      <c r="P43" s="8" t="str">
        <f>IF($A43="","",SUMIFS('Player Game Log'!$H$4:$H$603,'Player Game Log'!$A$4:$A$603,A43))</f>
        <v/>
      </c>
      <c r="Q43" s="8" t="str">
        <f>IF($A43="","",SUMIFS('Player Game Log'!$I$4:$I$603,'Player Game Log'!$A$4:$A$603,A43))</f>
        <v/>
      </c>
      <c r="R43" s="8" t="str">
        <f>IF($A43="","",SUMIFS('Player Game Log'!$R$4:$R$603,'Player Game Log'!$A$4:$A$603,A43))</f>
        <v/>
      </c>
      <c r="S43" s="8" t="str">
        <f>IF($A43="","",SUMIFS('Player Game Log'!$S$4:$S$603,'Player Game Log'!$A$4:$A$603,A43))</f>
        <v/>
      </c>
      <c r="T43" s="8" t="str">
        <f>IF($A43="","",SUMIFS('Player Game Log'!$J$4:$J$603,'Player Game Log'!$A$4:$A$603,A43))</f>
        <v/>
      </c>
      <c r="U43" s="8" t="str">
        <f>IF($A43="","",SUMIFS('Player Game Log'!$K$4:$K$603,'Player Game Log'!$A$4:$A$603,A43))</f>
        <v/>
      </c>
      <c r="V43" s="8" t="str">
        <f>IF($A43="","",SUMIFS('Player Game Log'!$L$4:$L$603,'Player Game Log'!$A$4:$A$603,A43))</f>
        <v/>
      </c>
      <c r="W43" s="8" t="str">
        <f>IF($A43="","",SUMIFS('Player Game Log'!$M$4:$M$603,'Player Game Log'!$A$4:$A$603,A43))</f>
        <v/>
      </c>
      <c r="X43" s="8" t="str">
        <f>IF($A43="","",SUMIFS('Player Game Log'!$N$4:$N$603,'Player Game Log'!$A$4:$A$603,A43))</f>
        <v/>
      </c>
      <c r="Y43" s="8" t="str">
        <f>IF($A43="","",SUMIFS('Player Game Log'!$O$4:$O$603,'Player Game Log'!$A$4:$A$603,A43))</f>
        <v/>
      </c>
      <c r="Z43" s="8" t="str">
        <f>IF($A43="","",SUMIFS('Player Game Log'!$P$4:$P$603,'Player Game Log'!$A$4:$A$603,A43))</f>
        <v/>
      </c>
      <c r="AA43" s="8" t="str">
        <f>IF($A43="","",SUMIFS('Player Game Log'!$Q$4:$Q$603,'Player Game Log'!$A$4:$A$603,A43))</f>
        <v/>
      </c>
      <c r="AB43" s="8" t="str">
        <f>IF($A43="","",COUNTIFS('Player Game Log'!$A$4:$A$603,A43))</f>
        <v/>
      </c>
      <c r="AC43" s="10" t="str">
        <f>IF($A43="","",IF(COUNTIFS('Player Game Log'!$A$4:$A$603,A43)&gt;0,"Yes","No"))</f>
        <v/>
      </c>
    </row>
    <row r="44" spans="1:29" ht="15" customHeight="1">
      <c r="A44" s="4"/>
      <c r="B44" s="15"/>
      <c r="C44" s="4"/>
      <c r="D44" s="7"/>
      <c r="E44" s="7"/>
      <c r="F44" s="7"/>
      <c r="G44" s="7"/>
      <c r="H44" s="8" t="str">
        <f t="shared" si="6"/>
        <v/>
      </c>
      <c r="I44" s="8" t="str">
        <f t="shared" si="7"/>
        <v/>
      </c>
      <c r="J44" s="8" t="str">
        <f t="shared" si="8"/>
        <v/>
      </c>
      <c r="K44" s="8" t="str">
        <f t="shared" si="9"/>
        <v/>
      </c>
      <c r="L44" s="10" t="str">
        <f t="shared" si="10"/>
        <v/>
      </c>
      <c r="M44" s="8" t="str">
        <f t="shared" si="11"/>
        <v/>
      </c>
      <c r="N44" s="8" t="str">
        <f>IF($A44="","",SUMIFS('Player Game Log'!$F$4:$F$603,'Player Game Log'!$A$4:$A$603,A44))</f>
        <v/>
      </c>
      <c r="O44" s="8" t="str">
        <f>IF($A44="","",SUMIFS('Player Game Log'!$G$4:$G$603,'Player Game Log'!$A$4:$A$603,A44))</f>
        <v/>
      </c>
      <c r="P44" s="8" t="str">
        <f>IF($A44="","",SUMIFS('Player Game Log'!$H$4:$H$603,'Player Game Log'!$A$4:$A$603,A44))</f>
        <v/>
      </c>
      <c r="Q44" s="8" t="str">
        <f>IF($A44="","",SUMIFS('Player Game Log'!$I$4:$I$603,'Player Game Log'!$A$4:$A$603,A44))</f>
        <v/>
      </c>
      <c r="R44" s="8" t="str">
        <f>IF($A44="","",SUMIFS('Player Game Log'!$R$4:$R$603,'Player Game Log'!$A$4:$A$603,A44))</f>
        <v/>
      </c>
      <c r="S44" s="8" t="str">
        <f>IF($A44="","",SUMIFS('Player Game Log'!$S$4:$S$603,'Player Game Log'!$A$4:$A$603,A44))</f>
        <v/>
      </c>
      <c r="T44" s="8" t="str">
        <f>IF($A44="","",SUMIFS('Player Game Log'!$J$4:$J$603,'Player Game Log'!$A$4:$A$603,A44))</f>
        <v/>
      </c>
      <c r="U44" s="8" t="str">
        <f>IF($A44="","",SUMIFS('Player Game Log'!$K$4:$K$603,'Player Game Log'!$A$4:$A$603,A44))</f>
        <v/>
      </c>
      <c r="V44" s="8" t="str">
        <f>IF($A44="","",SUMIFS('Player Game Log'!$L$4:$L$603,'Player Game Log'!$A$4:$A$603,A44))</f>
        <v/>
      </c>
      <c r="W44" s="8" t="str">
        <f>IF($A44="","",SUMIFS('Player Game Log'!$M$4:$M$603,'Player Game Log'!$A$4:$A$603,A44))</f>
        <v/>
      </c>
      <c r="X44" s="8" t="str">
        <f>IF($A44="","",SUMIFS('Player Game Log'!$N$4:$N$603,'Player Game Log'!$A$4:$A$603,A44))</f>
        <v/>
      </c>
      <c r="Y44" s="8" t="str">
        <f>IF($A44="","",SUMIFS('Player Game Log'!$O$4:$O$603,'Player Game Log'!$A$4:$A$603,A44))</f>
        <v/>
      </c>
      <c r="Z44" s="8" t="str">
        <f>IF($A44="","",SUMIFS('Player Game Log'!$P$4:$P$603,'Player Game Log'!$A$4:$A$603,A44))</f>
        <v/>
      </c>
      <c r="AA44" s="8" t="str">
        <f>IF($A44="","",SUMIFS('Player Game Log'!$Q$4:$Q$603,'Player Game Log'!$A$4:$A$603,A44))</f>
        <v/>
      </c>
      <c r="AB44" s="8" t="str">
        <f>IF($A44="","",COUNTIFS('Player Game Log'!$A$4:$A$603,A44))</f>
        <v/>
      </c>
      <c r="AC44" s="10" t="str">
        <f>IF($A44="","",IF(COUNTIFS('Player Game Log'!$A$4:$A$603,A44)&gt;0,"Yes","No"))</f>
        <v/>
      </c>
    </row>
    <row r="45" spans="1:29" ht="15" customHeight="1">
      <c r="A45" s="4"/>
      <c r="B45" s="15"/>
      <c r="C45" s="4"/>
      <c r="D45" s="7"/>
      <c r="E45" s="7"/>
      <c r="F45" s="7"/>
      <c r="G45" s="7"/>
      <c r="H45" s="8" t="str">
        <f t="shared" si="6"/>
        <v/>
      </c>
      <c r="I45" s="8" t="str">
        <f t="shared" si="7"/>
        <v/>
      </c>
      <c r="J45" s="8" t="str">
        <f t="shared" si="8"/>
        <v/>
      </c>
      <c r="K45" s="8" t="str">
        <f t="shared" si="9"/>
        <v/>
      </c>
      <c r="L45" s="10" t="str">
        <f t="shared" si="10"/>
        <v/>
      </c>
      <c r="M45" s="8" t="str">
        <f t="shared" si="11"/>
        <v/>
      </c>
      <c r="N45" s="8" t="str">
        <f>IF($A45="","",SUMIFS('Player Game Log'!$F$4:$F$603,'Player Game Log'!$A$4:$A$603,A45))</f>
        <v/>
      </c>
      <c r="O45" s="8" t="str">
        <f>IF($A45="","",SUMIFS('Player Game Log'!$G$4:$G$603,'Player Game Log'!$A$4:$A$603,A45))</f>
        <v/>
      </c>
      <c r="P45" s="8" t="str">
        <f>IF($A45="","",SUMIFS('Player Game Log'!$H$4:$H$603,'Player Game Log'!$A$4:$A$603,A45))</f>
        <v/>
      </c>
      <c r="Q45" s="8" t="str">
        <f>IF($A45="","",SUMIFS('Player Game Log'!$I$4:$I$603,'Player Game Log'!$A$4:$A$603,A45))</f>
        <v/>
      </c>
      <c r="R45" s="8" t="str">
        <f>IF($A45="","",SUMIFS('Player Game Log'!$R$4:$R$603,'Player Game Log'!$A$4:$A$603,A45))</f>
        <v/>
      </c>
      <c r="S45" s="8" t="str">
        <f>IF($A45="","",SUMIFS('Player Game Log'!$S$4:$S$603,'Player Game Log'!$A$4:$A$603,A45))</f>
        <v/>
      </c>
      <c r="T45" s="8" t="str">
        <f>IF($A45="","",SUMIFS('Player Game Log'!$J$4:$J$603,'Player Game Log'!$A$4:$A$603,A45))</f>
        <v/>
      </c>
      <c r="U45" s="8" t="str">
        <f>IF($A45="","",SUMIFS('Player Game Log'!$K$4:$K$603,'Player Game Log'!$A$4:$A$603,A45))</f>
        <v/>
      </c>
      <c r="V45" s="8" t="str">
        <f>IF($A45="","",SUMIFS('Player Game Log'!$L$4:$L$603,'Player Game Log'!$A$4:$A$603,A45))</f>
        <v/>
      </c>
      <c r="W45" s="8" t="str">
        <f>IF($A45="","",SUMIFS('Player Game Log'!$M$4:$M$603,'Player Game Log'!$A$4:$A$603,A45))</f>
        <v/>
      </c>
      <c r="X45" s="8" t="str">
        <f>IF($A45="","",SUMIFS('Player Game Log'!$N$4:$N$603,'Player Game Log'!$A$4:$A$603,A45))</f>
        <v/>
      </c>
      <c r="Y45" s="8" t="str">
        <f>IF($A45="","",SUMIFS('Player Game Log'!$O$4:$O$603,'Player Game Log'!$A$4:$A$603,A45))</f>
        <v/>
      </c>
      <c r="Z45" s="8" t="str">
        <f>IF($A45="","",SUMIFS('Player Game Log'!$P$4:$P$603,'Player Game Log'!$A$4:$A$603,A45))</f>
        <v/>
      </c>
      <c r="AA45" s="8" t="str">
        <f>IF($A45="","",SUMIFS('Player Game Log'!$Q$4:$Q$603,'Player Game Log'!$A$4:$A$603,A45))</f>
        <v/>
      </c>
      <c r="AB45" s="8" t="str">
        <f>IF($A45="","",COUNTIFS('Player Game Log'!$A$4:$A$603,A45))</f>
        <v/>
      </c>
      <c r="AC45" s="10" t="str">
        <f>IF($A45="","",IF(COUNTIFS('Player Game Log'!$A$4:$A$603,A45)&gt;0,"Yes","No"))</f>
        <v/>
      </c>
    </row>
    <row r="46" spans="1:29" ht="15" customHeight="1">
      <c r="A46" s="4"/>
      <c r="B46" s="15"/>
      <c r="C46" s="4"/>
      <c r="D46" s="7"/>
      <c r="E46" s="7"/>
      <c r="F46" s="7"/>
      <c r="G46" s="7"/>
      <c r="H46" s="8" t="str">
        <f t="shared" si="6"/>
        <v/>
      </c>
      <c r="I46" s="8" t="str">
        <f t="shared" si="7"/>
        <v/>
      </c>
      <c r="J46" s="8" t="str">
        <f t="shared" si="8"/>
        <v/>
      </c>
      <c r="K46" s="8" t="str">
        <f t="shared" si="9"/>
        <v/>
      </c>
      <c r="L46" s="10" t="str">
        <f t="shared" si="10"/>
        <v/>
      </c>
      <c r="M46" s="8" t="str">
        <f t="shared" si="11"/>
        <v/>
      </c>
      <c r="N46" s="8" t="str">
        <f>IF($A46="","",SUMIFS('Player Game Log'!$F$4:$F$603,'Player Game Log'!$A$4:$A$603,A46))</f>
        <v/>
      </c>
      <c r="O46" s="8" t="str">
        <f>IF($A46="","",SUMIFS('Player Game Log'!$G$4:$G$603,'Player Game Log'!$A$4:$A$603,A46))</f>
        <v/>
      </c>
      <c r="P46" s="8" t="str">
        <f>IF($A46="","",SUMIFS('Player Game Log'!$H$4:$H$603,'Player Game Log'!$A$4:$A$603,A46))</f>
        <v/>
      </c>
      <c r="Q46" s="8" t="str">
        <f>IF($A46="","",SUMIFS('Player Game Log'!$I$4:$I$603,'Player Game Log'!$A$4:$A$603,A46))</f>
        <v/>
      </c>
      <c r="R46" s="8" t="str">
        <f>IF($A46="","",SUMIFS('Player Game Log'!$R$4:$R$603,'Player Game Log'!$A$4:$A$603,A46))</f>
        <v/>
      </c>
      <c r="S46" s="8" t="str">
        <f>IF($A46="","",SUMIFS('Player Game Log'!$S$4:$S$603,'Player Game Log'!$A$4:$A$603,A46))</f>
        <v/>
      </c>
      <c r="T46" s="8" t="str">
        <f>IF($A46="","",SUMIFS('Player Game Log'!$J$4:$J$603,'Player Game Log'!$A$4:$A$603,A46))</f>
        <v/>
      </c>
      <c r="U46" s="8" t="str">
        <f>IF($A46="","",SUMIFS('Player Game Log'!$K$4:$K$603,'Player Game Log'!$A$4:$A$603,A46))</f>
        <v/>
      </c>
      <c r="V46" s="8" t="str">
        <f>IF($A46="","",SUMIFS('Player Game Log'!$L$4:$L$603,'Player Game Log'!$A$4:$A$603,A46))</f>
        <v/>
      </c>
      <c r="W46" s="8" t="str">
        <f>IF($A46="","",SUMIFS('Player Game Log'!$M$4:$M$603,'Player Game Log'!$A$4:$A$603,A46))</f>
        <v/>
      </c>
      <c r="X46" s="8" t="str">
        <f>IF($A46="","",SUMIFS('Player Game Log'!$N$4:$N$603,'Player Game Log'!$A$4:$A$603,A46))</f>
        <v/>
      </c>
      <c r="Y46" s="8" t="str">
        <f>IF($A46="","",SUMIFS('Player Game Log'!$O$4:$O$603,'Player Game Log'!$A$4:$A$603,A46))</f>
        <v/>
      </c>
      <c r="Z46" s="8" t="str">
        <f>IF($A46="","",SUMIFS('Player Game Log'!$P$4:$P$603,'Player Game Log'!$A$4:$A$603,A46))</f>
        <v/>
      </c>
      <c r="AA46" s="8" t="str">
        <f>IF($A46="","",SUMIFS('Player Game Log'!$Q$4:$Q$603,'Player Game Log'!$A$4:$A$603,A46))</f>
        <v/>
      </c>
      <c r="AB46" s="8" t="str">
        <f>IF($A46="","",COUNTIFS('Player Game Log'!$A$4:$A$603,A46))</f>
        <v/>
      </c>
      <c r="AC46" s="10" t="str">
        <f>IF($A46="","",IF(COUNTIFS('Player Game Log'!$A$4:$A$603,A46)&gt;0,"Yes","No"))</f>
        <v/>
      </c>
    </row>
    <row r="47" spans="1:29" ht="15" customHeight="1">
      <c r="A47" s="4"/>
      <c r="B47" s="15"/>
      <c r="C47" s="4"/>
      <c r="D47" s="7"/>
      <c r="E47" s="7"/>
      <c r="F47" s="7"/>
      <c r="G47" s="7"/>
      <c r="H47" s="8" t="str">
        <f t="shared" si="6"/>
        <v/>
      </c>
      <c r="I47" s="8" t="str">
        <f t="shared" si="7"/>
        <v/>
      </c>
      <c r="J47" s="8" t="str">
        <f t="shared" si="8"/>
        <v/>
      </c>
      <c r="K47" s="8" t="str">
        <f t="shared" si="9"/>
        <v/>
      </c>
      <c r="L47" s="10" t="str">
        <f t="shared" si="10"/>
        <v/>
      </c>
      <c r="M47" s="8" t="str">
        <f t="shared" si="11"/>
        <v/>
      </c>
      <c r="N47" s="8" t="str">
        <f>IF($A47="","",SUMIFS('Player Game Log'!$F$4:$F$603,'Player Game Log'!$A$4:$A$603,A47))</f>
        <v/>
      </c>
      <c r="O47" s="8" t="str">
        <f>IF($A47="","",SUMIFS('Player Game Log'!$G$4:$G$603,'Player Game Log'!$A$4:$A$603,A47))</f>
        <v/>
      </c>
      <c r="P47" s="8" t="str">
        <f>IF($A47="","",SUMIFS('Player Game Log'!$H$4:$H$603,'Player Game Log'!$A$4:$A$603,A47))</f>
        <v/>
      </c>
      <c r="Q47" s="8" t="str">
        <f>IF($A47="","",SUMIFS('Player Game Log'!$I$4:$I$603,'Player Game Log'!$A$4:$A$603,A47))</f>
        <v/>
      </c>
      <c r="R47" s="8" t="str">
        <f>IF($A47="","",SUMIFS('Player Game Log'!$R$4:$R$603,'Player Game Log'!$A$4:$A$603,A47))</f>
        <v/>
      </c>
      <c r="S47" s="8" t="str">
        <f>IF($A47="","",SUMIFS('Player Game Log'!$S$4:$S$603,'Player Game Log'!$A$4:$A$603,A47))</f>
        <v/>
      </c>
      <c r="T47" s="8" t="str">
        <f>IF($A47="","",SUMIFS('Player Game Log'!$J$4:$J$603,'Player Game Log'!$A$4:$A$603,A47))</f>
        <v/>
      </c>
      <c r="U47" s="8" t="str">
        <f>IF($A47="","",SUMIFS('Player Game Log'!$K$4:$K$603,'Player Game Log'!$A$4:$A$603,A47))</f>
        <v/>
      </c>
      <c r="V47" s="8" t="str">
        <f>IF($A47="","",SUMIFS('Player Game Log'!$L$4:$L$603,'Player Game Log'!$A$4:$A$603,A47))</f>
        <v/>
      </c>
      <c r="W47" s="8" t="str">
        <f>IF($A47="","",SUMIFS('Player Game Log'!$M$4:$M$603,'Player Game Log'!$A$4:$A$603,A47))</f>
        <v/>
      </c>
      <c r="X47" s="8" t="str">
        <f>IF($A47="","",SUMIFS('Player Game Log'!$N$4:$N$603,'Player Game Log'!$A$4:$A$603,A47))</f>
        <v/>
      </c>
      <c r="Y47" s="8" t="str">
        <f>IF($A47="","",SUMIFS('Player Game Log'!$O$4:$O$603,'Player Game Log'!$A$4:$A$603,A47))</f>
        <v/>
      </c>
      <c r="Z47" s="8" t="str">
        <f>IF($A47="","",SUMIFS('Player Game Log'!$P$4:$P$603,'Player Game Log'!$A$4:$A$603,A47))</f>
        <v/>
      </c>
      <c r="AA47" s="8" t="str">
        <f>IF($A47="","",SUMIFS('Player Game Log'!$Q$4:$Q$603,'Player Game Log'!$A$4:$A$603,A47))</f>
        <v/>
      </c>
      <c r="AB47" s="8" t="str">
        <f>IF($A47="","",COUNTIFS('Player Game Log'!$A$4:$A$603,A47))</f>
        <v/>
      </c>
      <c r="AC47" s="10" t="str">
        <f>IF($A47="","",IF(COUNTIFS('Player Game Log'!$A$4:$A$603,A47)&gt;0,"Yes","No"))</f>
        <v/>
      </c>
    </row>
    <row r="48" spans="1:29" ht="15" customHeight="1">
      <c r="A48" s="4"/>
      <c r="B48" s="15"/>
      <c r="C48" s="4"/>
      <c r="D48" s="7"/>
      <c r="E48" s="7"/>
      <c r="F48" s="7"/>
      <c r="G48" s="7"/>
      <c r="H48" s="8" t="str">
        <f t="shared" si="6"/>
        <v/>
      </c>
      <c r="I48" s="8" t="str">
        <f t="shared" si="7"/>
        <v/>
      </c>
      <c r="J48" s="8" t="str">
        <f t="shared" si="8"/>
        <v/>
      </c>
      <c r="K48" s="8" t="str">
        <f t="shared" si="9"/>
        <v/>
      </c>
      <c r="L48" s="10" t="str">
        <f t="shared" si="10"/>
        <v/>
      </c>
      <c r="M48" s="8" t="str">
        <f t="shared" si="11"/>
        <v/>
      </c>
      <c r="N48" s="8" t="str">
        <f>IF($A48="","",SUMIFS('Player Game Log'!$F$4:$F$603,'Player Game Log'!$A$4:$A$603,A48))</f>
        <v/>
      </c>
      <c r="O48" s="8" t="str">
        <f>IF($A48="","",SUMIFS('Player Game Log'!$G$4:$G$603,'Player Game Log'!$A$4:$A$603,A48))</f>
        <v/>
      </c>
      <c r="P48" s="8" t="str">
        <f>IF($A48="","",SUMIFS('Player Game Log'!$H$4:$H$603,'Player Game Log'!$A$4:$A$603,A48))</f>
        <v/>
      </c>
      <c r="Q48" s="8" t="str">
        <f>IF($A48="","",SUMIFS('Player Game Log'!$I$4:$I$603,'Player Game Log'!$A$4:$A$603,A48))</f>
        <v/>
      </c>
      <c r="R48" s="8" t="str">
        <f>IF($A48="","",SUMIFS('Player Game Log'!$R$4:$R$603,'Player Game Log'!$A$4:$A$603,A48))</f>
        <v/>
      </c>
      <c r="S48" s="8" t="str">
        <f>IF($A48="","",SUMIFS('Player Game Log'!$S$4:$S$603,'Player Game Log'!$A$4:$A$603,A48))</f>
        <v/>
      </c>
      <c r="T48" s="8" t="str">
        <f>IF($A48="","",SUMIFS('Player Game Log'!$J$4:$J$603,'Player Game Log'!$A$4:$A$603,A48))</f>
        <v/>
      </c>
      <c r="U48" s="8" t="str">
        <f>IF($A48="","",SUMIFS('Player Game Log'!$K$4:$K$603,'Player Game Log'!$A$4:$A$603,A48))</f>
        <v/>
      </c>
      <c r="V48" s="8" t="str">
        <f>IF($A48="","",SUMIFS('Player Game Log'!$L$4:$L$603,'Player Game Log'!$A$4:$A$603,A48))</f>
        <v/>
      </c>
      <c r="W48" s="8" t="str">
        <f>IF($A48="","",SUMIFS('Player Game Log'!$M$4:$M$603,'Player Game Log'!$A$4:$A$603,A48))</f>
        <v/>
      </c>
      <c r="X48" s="8" t="str">
        <f>IF($A48="","",SUMIFS('Player Game Log'!$N$4:$N$603,'Player Game Log'!$A$4:$A$603,A48))</f>
        <v/>
      </c>
      <c r="Y48" s="8" t="str">
        <f>IF($A48="","",SUMIFS('Player Game Log'!$O$4:$O$603,'Player Game Log'!$A$4:$A$603,A48))</f>
        <v/>
      </c>
      <c r="Z48" s="8" t="str">
        <f>IF($A48="","",SUMIFS('Player Game Log'!$P$4:$P$603,'Player Game Log'!$A$4:$A$603,A48))</f>
        <v/>
      </c>
      <c r="AA48" s="8" t="str">
        <f>IF($A48="","",SUMIFS('Player Game Log'!$Q$4:$Q$603,'Player Game Log'!$A$4:$A$603,A48))</f>
        <v/>
      </c>
      <c r="AB48" s="8" t="str">
        <f>IF($A48="","",COUNTIFS('Player Game Log'!$A$4:$A$603,A48))</f>
        <v/>
      </c>
      <c r="AC48" s="10" t="str">
        <f>IF($A48="","",IF(COUNTIFS('Player Game Log'!$A$4:$A$603,A48)&gt;0,"Yes","No"))</f>
        <v/>
      </c>
    </row>
    <row r="49" spans="1:29" ht="15" customHeight="1">
      <c r="A49" s="4"/>
      <c r="B49" s="15"/>
      <c r="C49" s="4"/>
      <c r="D49" s="7"/>
      <c r="E49" s="7"/>
      <c r="F49" s="7"/>
      <c r="G49" s="7"/>
      <c r="H49" s="8" t="str">
        <f t="shared" si="6"/>
        <v/>
      </c>
      <c r="I49" s="8" t="str">
        <f t="shared" si="7"/>
        <v/>
      </c>
      <c r="J49" s="8" t="str">
        <f t="shared" si="8"/>
        <v/>
      </c>
      <c r="K49" s="8" t="str">
        <f t="shared" si="9"/>
        <v/>
      </c>
      <c r="L49" s="10" t="str">
        <f t="shared" si="10"/>
        <v/>
      </c>
      <c r="M49" s="8" t="str">
        <f t="shared" si="11"/>
        <v/>
      </c>
      <c r="N49" s="8" t="str">
        <f>IF($A49="","",SUMIFS('Player Game Log'!$F$4:$F$603,'Player Game Log'!$A$4:$A$603,A49))</f>
        <v/>
      </c>
      <c r="O49" s="8" t="str">
        <f>IF($A49="","",SUMIFS('Player Game Log'!$G$4:$G$603,'Player Game Log'!$A$4:$A$603,A49))</f>
        <v/>
      </c>
      <c r="P49" s="8" t="str">
        <f>IF($A49="","",SUMIFS('Player Game Log'!$H$4:$H$603,'Player Game Log'!$A$4:$A$603,A49))</f>
        <v/>
      </c>
      <c r="Q49" s="8" t="str">
        <f>IF($A49="","",SUMIFS('Player Game Log'!$I$4:$I$603,'Player Game Log'!$A$4:$A$603,A49))</f>
        <v/>
      </c>
      <c r="R49" s="8" t="str">
        <f>IF($A49="","",SUMIFS('Player Game Log'!$R$4:$R$603,'Player Game Log'!$A$4:$A$603,A49))</f>
        <v/>
      </c>
      <c r="S49" s="8" t="str">
        <f>IF($A49="","",SUMIFS('Player Game Log'!$S$4:$S$603,'Player Game Log'!$A$4:$A$603,A49))</f>
        <v/>
      </c>
      <c r="T49" s="8" t="str">
        <f>IF($A49="","",SUMIFS('Player Game Log'!$J$4:$J$603,'Player Game Log'!$A$4:$A$603,A49))</f>
        <v/>
      </c>
      <c r="U49" s="8" t="str">
        <f>IF($A49="","",SUMIFS('Player Game Log'!$K$4:$K$603,'Player Game Log'!$A$4:$A$603,A49))</f>
        <v/>
      </c>
      <c r="V49" s="8" t="str">
        <f>IF($A49="","",SUMIFS('Player Game Log'!$L$4:$L$603,'Player Game Log'!$A$4:$A$603,A49))</f>
        <v/>
      </c>
      <c r="W49" s="8" t="str">
        <f>IF($A49="","",SUMIFS('Player Game Log'!$M$4:$M$603,'Player Game Log'!$A$4:$A$603,A49))</f>
        <v/>
      </c>
      <c r="X49" s="8" t="str">
        <f>IF($A49="","",SUMIFS('Player Game Log'!$N$4:$N$603,'Player Game Log'!$A$4:$A$603,A49))</f>
        <v/>
      </c>
      <c r="Y49" s="8" t="str">
        <f>IF($A49="","",SUMIFS('Player Game Log'!$O$4:$O$603,'Player Game Log'!$A$4:$A$603,A49))</f>
        <v/>
      </c>
      <c r="Z49" s="8" t="str">
        <f>IF($A49="","",SUMIFS('Player Game Log'!$P$4:$P$603,'Player Game Log'!$A$4:$A$603,A49))</f>
        <v/>
      </c>
      <c r="AA49" s="8" t="str">
        <f>IF($A49="","",SUMIFS('Player Game Log'!$Q$4:$Q$603,'Player Game Log'!$A$4:$A$603,A49))</f>
        <v/>
      </c>
      <c r="AB49" s="8" t="str">
        <f>IF($A49="","",COUNTIFS('Player Game Log'!$A$4:$A$603,A49))</f>
        <v/>
      </c>
      <c r="AC49" s="10" t="str">
        <f>IF($A49="","",IF(COUNTIFS('Player Game Log'!$A$4:$A$603,A49)&gt;0,"Yes","No"))</f>
        <v/>
      </c>
    </row>
    <row r="50" spans="1:29" ht="15" customHeight="1">
      <c r="A50" s="4"/>
      <c r="B50" s="15"/>
      <c r="C50" s="4"/>
      <c r="D50" s="7"/>
      <c r="E50" s="7"/>
      <c r="F50" s="7"/>
      <c r="G50" s="7"/>
      <c r="H50" s="8" t="str">
        <f t="shared" si="6"/>
        <v/>
      </c>
      <c r="I50" s="8" t="str">
        <f t="shared" si="7"/>
        <v/>
      </c>
      <c r="J50" s="8" t="str">
        <f t="shared" si="8"/>
        <v/>
      </c>
      <c r="K50" s="8" t="str">
        <f t="shared" si="9"/>
        <v/>
      </c>
      <c r="L50" s="10" t="str">
        <f t="shared" si="10"/>
        <v/>
      </c>
      <c r="M50" s="8" t="str">
        <f t="shared" si="11"/>
        <v/>
      </c>
      <c r="N50" s="8" t="str">
        <f>IF($A50="","",SUMIFS('Player Game Log'!$F$4:$F$603,'Player Game Log'!$A$4:$A$603,A50))</f>
        <v/>
      </c>
      <c r="O50" s="8" t="str">
        <f>IF($A50="","",SUMIFS('Player Game Log'!$G$4:$G$603,'Player Game Log'!$A$4:$A$603,A50))</f>
        <v/>
      </c>
      <c r="P50" s="8" t="str">
        <f>IF($A50="","",SUMIFS('Player Game Log'!$H$4:$H$603,'Player Game Log'!$A$4:$A$603,A50))</f>
        <v/>
      </c>
      <c r="Q50" s="8" t="str">
        <f>IF($A50="","",SUMIFS('Player Game Log'!$I$4:$I$603,'Player Game Log'!$A$4:$A$603,A50))</f>
        <v/>
      </c>
      <c r="R50" s="8" t="str">
        <f>IF($A50="","",SUMIFS('Player Game Log'!$R$4:$R$603,'Player Game Log'!$A$4:$A$603,A50))</f>
        <v/>
      </c>
      <c r="S50" s="8" t="str">
        <f>IF($A50="","",SUMIFS('Player Game Log'!$S$4:$S$603,'Player Game Log'!$A$4:$A$603,A50))</f>
        <v/>
      </c>
      <c r="T50" s="8" t="str">
        <f>IF($A50="","",SUMIFS('Player Game Log'!$J$4:$J$603,'Player Game Log'!$A$4:$A$603,A50))</f>
        <v/>
      </c>
      <c r="U50" s="8" t="str">
        <f>IF($A50="","",SUMIFS('Player Game Log'!$K$4:$K$603,'Player Game Log'!$A$4:$A$603,A50))</f>
        <v/>
      </c>
      <c r="V50" s="8" t="str">
        <f>IF($A50="","",SUMIFS('Player Game Log'!$L$4:$L$603,'Player Game Log'!$A$4:$A$603,A50))</f>
        <v/>
      </c>
      <c r="W50" s="8" t="str">
        <f>IF($A50="","",SUMIFS('Player Game Log'!$M$4:$M$603,'Player Game Log'!$A$4:$A$603,A50))</f>
        <v/>
      </c>
      <c r="X50" s="8" t="str">
        <f>IF($A50="","",SUMIFS('Player Game Log'!$N$4:$N$603,'Player Game Log'!$A$4:$A$603,A50))</f>
        <v/>
      </c>
      <c r="Y50" s="8" t="str">
        <f>IF($A50="","",SUMIFS('Player Game Log'!$O$4:$O$603,'Player Game Log'!$A$4:$A$603,A50))</f>
        <v/>
      </c>
      <c r="Z50" s="8" t="str">
        <f>IF($A50="","",SUMIFS('Player Game Log'!$P$4:$P$603,'Player Game Log'!$A$4:$A$603,A50))</f>
        <v/>
      </c>
      <c r="AA50" s="8" t="str">
        <f>IF($A50="","",SUMIFS('Player Game Log'!$Q$4:$Q$603,'Player Game Log'!$A$4:$A$603,A50))</f>
        <v/>
      </c>
      <c r="AB50" s="8" t="str">
        <f>IF($A50="","",COUNTIFS('Player Game Log'!$A$4:$A$603,A50))</f>
        <v/>
      </c>
      <c r="AC50" s="10" t="str">
        <f>IF($A50="","",IF(COUNTIFS('Player Game Log'!$A$4:$A$603,A50)&gt;0,"Yes","No"))</f>
        <v/>
      </c>
    </row>
    <row r="51" spans="1:29" ht="15" customHeight="1">
      <c r="A51" s="4"/>
      <c r="B51" s="15"/>
      <c r="C51" s="4"/>
      <c r="D51" s="7"/>
      <c r="E51" s="7"/>
      <c r="F51" s="7"/>
      <c r="G51" s="7"/>
      <c r="H51" s="8" t="str">
        <f t="shared" si="6"/>
        <v/>
      </c>
      <c r="I51" s="8" t="str">
        <f t="shared" si="7"/>
        <v/>
      </c>
      <c r="J51" s="8" t="str">
        <f t="shared" si="8"/>
        <v/>
      </c>
      <c r="K51" s="8" t="str">
        <f t="shared" si="9"/>
        <v/>
      </c>
      <c r="L51" s="10" t="str">
        <f t="shared" si="10"/>
        <v/>
      </c>
      <c r="M51" s="8" t="str">
        <f t="shared" si="11"/>
        <v/>
      </c>
      <c r="N51" s="8" t="str">
        <f>IF($A51="","",SUMIFS('Player Game Log'!$F$4:$F$603,'Player Game Log'!$A$4:$A$603,A51))</f>
        <v/>
      </c>
      <c r="O51" s="8" t="str">
        <f>IF($A51="","",SUMIFS('Player Game Log'!$G$4:$G$603,'Player Game Log'!$A$4:$A$603,A51))</f>
        <v/>
      </c>
      <c r="P51" s="8" t="str">
        <f>IF($A51="","",SUMIFS('Player Game Log'!$H$4:$H$603,'Player Game Log'!$A$4:$A$603,A51))</f>
        <v/>
      </c>
      <c r="Q51" s="8" t="str">
        <f>IF($A51="","",SUMIFS('Player Game Log'!$I$4:$I$603,'Player Game Log'!$A$4:$A$603,A51))</f>
        <v/>
      </c>
      <c r="R51" s="8" t="str">
        <f>IF($A51="","",SUMIFS('Player Game Log'!$R$4:$R$603,'Player Game Log'!$A$4:$A$603,A51))</f>
        <v/>
      </c>
      <c r="S51" s="8" t="str">
        <f>IF($A51="","",SUMIFS('Player Game Log'!$S$4:$S$603,'Player Game Log'!$A$4:$A$603,A51))</f>
        <v/>
      </c>
      <c r="T51" s="8" t="str">
        <f>IF($A51="","",SUMIFS('Player Game Log'!$J$4:$J$603,'Player Game Log'!$A$4:$A$603,A51))</f>
        <v/>
      </c>
      <c r="U51" s="8" t="str">
        <f>IF($A51="","",SUMIFS('Player Game Log'!$K$4:$K$603,'Player Game Log'!$A$4:$A$603,A51))</f>
        <v/>
      </c>
      <c r="V51" s="8" t="str">
        <f>IF($A51="","",SUMIFS('Player Game Log'!$L$4:$L$603,'Player Game Log'!$A$4:$A$603,A51))</f>
        <v/>
      </c>
      <c r="W51" s="8" t="str">
        <f>IF($A51="","",SUMIFS('Player Game Log'!$M$4:$M$603,'Player Game Log'!$A$4:$A$603,A51))</f>
        <v/>
      </c>
      <c r="X51" s="8" t="str">
        <f>IF($A51="","",SUMIFS('Player Game Log'!$N$4:$N$603,'Player Game Log'!$A$4:$A$603,A51))</f>
        <v/>
      </c>
      <c r="Y51" s="8" t="str">
        <f>IF($A51="","",SUMIFS('Player Game Log'!$O$4:$O$603,'Player Game Log'!$A$4:$A$603,A51))</f>
        <v/>
      </c>
      <c r="Z51" s="8" t="str">
        <f>IF($A51="","",SUMIFS('Player Game Log'!$P$4:$P$603,'Player Game Log'!$A$4:$A$603,A51))</f>
        <v/>
      </c>
      <c r="AA51" s="8" t="str">
        <f>IF($A51="","",SUMIFS('Player Game Log'!$Q$4:$Q$603,'Player Game Log'!$A$4:$A$603,A51))</f>
        <v/>
      </c>
      <c r="AB51" s="8" t="str">
        <f>IF($A51="","",COUNTIFS('Player Game Log'!$A$4:$A$603,A51))</f>
        <v/>
      </c>
      <c r="AC51" s="10" t="str">
        <f>IF($A51="","",IF(COUNTIFS('Player Game Log'!$A$4:$A$603,A51)&gt;0,"Yes","No"))</f>
        <v/>
      </c>
    </row>
    <row r="52" spans="1:29" ht="15" customHeight="1">
      <c r="A52" s="4"/>
      <c r="B52" s="15"/>
      <c r="C52" s="4"/>
      <c r="D52" s="7"/>
      <c r="E52" s="7"/>
      <c r="F52" s="7"/>
      <c r="G52" s="7"/>
      <c r="H52" s="8" t="str">
        <f t="shared" si="6"/>
        <v/>
      </c>
      <c r="I52" s="8" t="str">
        <f t="shared" si="7"/>
        <v/>
      </c>
      <c r="J52" s="8" t="str">
        <f t="shared" si="8"/>
        <v/>
      </c>
      <c r="K52" s="8" t="str">
        <f t="shared" si="9"/>
        <v/>
      </c>
      <c r="L52" s="10" t="str">
        <f t="shared" si="10"/>
        <v/>
      </c>
      <c r="M52" s="8" t="str">
        <f t="shared" si="11"/>
        <v/>
      </c>
      <c r="N52" s="8" t="str">
        <f>IF($A52="","",SUMIFS('Player Game Log'!$F$4:$F$603,'Player Game Log'!$A$4:$A$603,A52))</f>
        <v/>
      </c>
      <c r="O52" s="8" t="str">
        <f>IF($A52="","",SUMIFS('Player Game Log'!$G$4:$G$603,'Player Game Log'!$A$4:$A$603,A52))</f>
        <v/>
      </c>
      <c r="P52" s="8" t="str">
        <f>IF($A52="","",SUMIFS('Player Game Log'!$H$4:$H$603,'Player Game Log'!$A$4:$A$603,A52))</f>
        <v/>
      </c>
      <c r="Q52" s="8" t="str">
        <f>IF($A52="","",SUMIFS('Player Game Log'!$I$4:$I$603,'Player Game Log'!$A$4:$A$603,A52))</f>
        <v/>
      </c>
      <c r="R52" s="8" t="str">
        <f>IF($A52="","",SUMIFS('Player Game Log'!$R$4:$R$603,'Player Game Log'!$A$4:$A$603,A52))</f>
        <v/>
      </c>
      <c r="S52" s="8" t="str">
        <f>IF($A52="","",SUMIFS('Player Game Log'!$S$4:$S$603,'Player Game Log'!$A$4:$A$603,A52))</f>
        <v/>
      </c>
      <c r="T52" s="8" t="str">
        <f>IF($A52="","",SUMIFS('Player Game Log'!$J$4:$J$603,'Player Game Log'!$A$4:$A$603,A52))</f>
        <v/>
      </c>
      <c r="U52" s="8" t="str">
        <f>IF($A52="","",SUMIFS('Player Game Log'!$K$4:$K$603,'Player Game Log'!$A$4:$A$603,A52))</f>
        <v/>
      </c>
      <c r="V52" s="8" t="str">
        <f>IF($A52="","",SUMIFS('Player Game Log'!$L$4:$L$603,'Player Game Log'!$A$4:$A$603,A52))</f>
        <v/>
      </c>
      <c r="W52" s="8" t="str">
        <f>IF($A52="","",SUMIFS('Player Game Log'!$M$4:$M$603,'Player Game Log'!$A$4:$A$603,A52))</f>
        <v/>
      </c>
      <c r="X52" s="8" t="str">
        <f>IF($A52="","",SUMIFS('Player Game Log'!$N$4:$N$603,'Player Game Log'!$A$4:$A$603,A52))</f>
        <v/>
      </c>
      <c r="Y52" s="8" t="str">
        <f>IF($A52="","",SUMIFS('Player Game Log'!$O$4:$O$603,'Player Game Log'!$A$4:$A$603,A52))</f>
        <v/>
      </c>
      <c r="Z52" s="8" t="str">
        <f>IF($A52="","",SUMIFS('Player Game Log'!$P$4:$P$603,'Player Game Log'!$A$4:$A$603,A52))</f>
        <v/>
      </c>
      <c r="AA52" s="8" t="str">
        <f>IF($A52="","",SUMIFS('Player Game Log'!$Q$4:$Q$603,'Player Game Log'!$A$4:$A$603,A52))</f>
        <v/>
      </c>
      <c r="AB52" s="8" t="str">
        <f>IF($A52="","",COUNTIFS('Player Game Log'!$A$4:$A$603,A52))</f>
        <v/>
      </c>
      <c r="AC52" s="10" t="str">
        <f>IF($A52="","",IF(COUNTIFS('Player Game Log'!$A$4:$A$603,A52)&gt;0,"Yes","No"))</f>
        <v/>
      </c>
    </row>
    <row r="53" spans="1:29" ht="15" customHeight="1">
      <c r="A53" s="4"/>
      <c r="B53" s="15"/>
      <c r="C53" s="4"/>
      <c r="D53" s="7"/>
      <c r="E53" s="7"/>
      <c r="F53" s="7"/>
      <c r="G53" s="7"/>
      <c r="H53" s="8" t="str">
        <f t="shared" si="6"/>
        <v/>
      </c>
      <c r="I53" s="8" t="str">
        <f t="shared" si="7"/>
        <v/>
      </c>
      <c r="J53" s="8" t="str">
        <f t="shared" si="8"/>
        <v/>
      </c>
      <c r="K53" s="8" t="str">
        <f t="shared" si="9"/>
        <v/>
      </c>
      <c r="L53" s="10" t="str">
        <f t="shared" si="10"/>
        <v/>
      </c>
      <c r="M53" s="8" t="str">
        <f t="shared" si="11"/>
        <v/>
      </c>
      <c r="N53" s="8" t="str">
        <f>IF($A53="","",SUMIFS('Player Game Log'!$F$4:$F$603,'Player Game Log'!$A$4:$A$603,A53))</f>
        <v/>
      </c>
      <c r="O53" s="8" t="str">
        <f>IF($A53="","",SUMIFS('Player Game Log'!$G$4:$G$603,'Player Game Log'!$A$4:$A$603,A53))</f>
        <v/>
      </c>
      <c r="P53" s="8" t="str">
        <f>IF($A53="","",SUMIFS('Player Game Log'!$H$4:$H$603,'Player Game Log'!$A$4:$A$603,A53))</f>
        <v/>
      </c>
      <c r="Q53" s="8" t="str">
        <f>IF($A53="","",SUMIFS('Player Game Log'!$I$4:$I$603,'Player Game Log'!$A$4:$A$603,A53))</f>
        <v/>
      </c>
      <c r="R53" s="8" t="str">
        <f>IF($A53="","",SUMIFS('Player Game Log'!$R$4:$R$603,'Player Game Log'!$A$4:$A$603,A53))</f>
        <v/>
      </c>
      <c r="S53" s="8" t="str">
        <f>IF($A53="","",SUMIFS('Player Game Log'!$S$4:$S$603,'Player Game Log'!$A$4:$A$603,A53))</f>
        <v/>
      </c>
      <c r="T53" s="8" t="str">
        <f>IF($A53="","",SUMIFS('Player Game Log'!$J$4:$J$603,'Player Game Log'!$A$4:$A$603,A53))</f>
        <v/>
      </c>
      <c r="U53" s="8" t="str">
        <f>IF($A53="","",SUMIFS('Player Game Log'!$K$4:$K$603,'Player Game Log'!$A$4:$A$603,A53))</f>
        <v/>
      </c>
      <c r="V53" s="8" t="str">
        <f>IF($A53="","",SUMIFS('Player Game Log'!$L$4:$L$603,'Player Game Log'!$A$4:$A$603,A53))</f>
        <v/>
      </c>
      <c r="W53" s="8" t="str">
        <f>IF($A53="","",SUMIFS('Player Game Log'!$M$4:$M$603,'Player Game Log'!$A$4:$A$603,A53))</f>
        <v/>
      </c>
      <c r="X53" s="8" t="str">
        <f>IF($A53="","",SUMIFS('Player Game Log'!$N$4:$N$603,'Player Game Log'!$A$4:$A$603,A53))</f>
        <v/>
      </c>
      <c r="Y53" s="8" t="str">
        <f>IF($A53="","",SUMIFS('Player Game Log'!$O$4:$O$603,'Player Game Log'!$A$4:$A$603,A53))</f>
        <v/>
      </c>
      <c r="Z53" s="8" t="str">
        <f>IF($A53="","",SUMIFS('Player Game Log'!$P$4:$P$603,'Player Game Log'!$A$4:$A$603,A53))</f>
        <v/>
      </c>
      <c r="AA53" s="8" t="str">
        <f>IF($A53="","",SUMIFS('Player Game Log'!$Q$4:$Q$603,'Player Game Log'!$A$4:$A$603,A53))</f>
        <v/>
      </c>
      <c r="AB53" s="8" t="str">
        <f>IF($A53="","",COUNTIFS('Player Game Log'!$A$4:$A$603,A53))</f>
        <v/>
      </c>
      <c r="AC53" s="10" t="str">
        <f>IF($A53="","",IF(COUNTIFS('Player Game Log'!$A$4:$A$603,A53)&gt;0,"Yes","No"))</f>
        <v/>
      </c>
    </row>
    <row r="54" spans="1:29" ht="15" customHeight="1">
      <c r="A54" s="4"/>
      <c r="B54" s="15"/>
      <c r="C54" s="4"/>
      <c r="D54" s="7"/>
      <c r="E54" s="7"/>
      <c r="F54" s="7"/>
      <c r="G54" s="7"/>
      <c r="H54" s="8" t="str">
        <f t="shared" si="6"/>
        <v/>
      </c>
      <c r="I54" s="8" t="str">
        <f t="shared" si="7"/>
        <v/>
      </c>
      <c r="J54" s="8" t="str">
        <f t="shared" si="8"/>
        <v/>
      </c>
      <c r="K54" s="8" t="str">
        <f t="shared" si="9"/>
        <v/>
      </c>
      <c r="L54" s="10" t="str">
        <f t="shared" si="10"/>
        <v/>
      </c>
      <c r="M54" s="8" t="str">
        <f t="shared" si="11"/>
        <v/>
      </c>
      <c r="N54" s="8" t="str">
        <f>IF($A54="","",SUMIFS('Player Game Log'!$F$4:$F$603,'Player Game Log'!$A$4:$A$603,A54))</f>
        <v/>
      </c>
      <c r="O54" s="8" t="str">
        <f>IF($A54="","",SUMIFS('Player Game Log'!$G$4:$G$603,'Player Game Log'!$A$4:$A$603,A54))</f>
        <v/>
      </c>
      <c r="P54" s="8" t="str">
        <f>IF($A54="","",SUMIFS('Player Game Log'!$H$4:$H$603,'Player Game Log'!$A$4:$A$603,A54))</f>
        <v/>
      </c>
      <c r="Q54" s="8" t="str">
        <f>IF($A54="","",SUMIFS('Player Game Log'!$I$4:$I$603,'Player Game Log'!$A$4:$A$603,A54))</f>
        <v/>
      </c>
      <c r="R54" s="8" t="str">
        <f>IF($A54="","",SUMIFS('Player Game Log'!$R$4:$R$603,'Player Game Log'!$A$4:$A$603,A54))</f>
        <v/>
      </c>
      <c r="S54" s="8" t="str">
        <f>IF($A54="","",SUMIFS('Player Game Log'!$S$4:$S$603,'Player Game Log'!$A$4:$A$603,A54))</f>
        <v/>
      </c>
      <c r="T54" s="8" t="str">
        <f>IF($A54="","",SUMIFS('Player Game Log'!$J$4:$J$603,'Player Game Log'!$A$4:$A$603,A54))</f>
        <v/>
      </c>
      <c r="U54" s="8" t="str">
        <f>IF($A54="","",SUMIFS('Player Game Log'!$K$4:$K$603,'Player Game Log'!$A$4:$A$603,A54))</f>
        <v/>
      </c>
      <c r="V54" s="8" t="str">
        <f>IF($A54="","",SUMIFS('Player Game Log'!$L$4:$L$603,'Player Game Log'!$A$4:$A$603,A54))</f>
        <v/>
      </c>
      <c r="W54" s="8" t="str">
        <f>IF($A54="","",SUMIFS('Player Game Log'!$M$4:$M$603,'Player Game Log'!$A$4:$A$603,A54))</f>
        <v/>
      </c>
      <c r="X54" s="8" t="str">
        <f>IF($A54="","",SUMIFS('Player Game Log'!$N$4:$N$603,'Player Game Log'!$A$4:$A$603,A54))</f>
        <v/>
      </c>
      <c r="Y54" s="8" t="str">
        <f>IF($A54="","",SUMIFS('Player Game Log'!$O$4:$O$603,'Player Game Log'!$A$4:$A$603,A54))</f>
        <v/>
      </c>
      <c r="Z54" s="8" t="str">
        <f>IF($A54="","",SUMIFS('Player Game Log'!$P$4:$P$603,'Player Game Log'!$A$4:$A$603,A54))</f>
        <v/>
      </c>
      <c r="AA54" s="8" t="str">
        <f>IF($A54="","",SUMIFS('Player Game Log'!$Q$4:$Q$603,'Player Game Log'!$A$4:$A$603,A54))</f>
        <v/>
      </c>
      <c r="AB54" s="8" t="str">
        <f>IF($A54="","",COUNTIFS('Player Game Log'!$A$4:$A$603,A54))</f>
        <v/>
      </c>
      <c r="AC54" s="10" t="str">
        <f>IF($A54="","",IF(COUNTIFS('Player Game Log'!$A$4:$A$603,A54)&gt;0,"Yes","No"))</f>
        <v/>
      </c>
    </row>
    <row r="55" spans="1:29" ht="15" customHeight="1">
      <c r="A55" s="4"/>
      <c r="B55" s="15"/>
      <c r="C55" s="4"/>
      <c r="D55" s="7"/>
      <c r="E55" s="7"/>
      <c r="F55" s="7"/>
      <c r="G55" s="7"/>
      <c r="H55" s="8" t="str">
        <f t="shared" si="6"/>
        <v/>
      </c>
      <c r="I55" s="8" t="str">
        <f t="shared" si="7"/>
        <v/>
      </c>
      <c r="J55" s="8" t="str">
        <f t="shared" si="8"/>
        <v/>
      </c>
      <c r="K55" s="8" t="str">
        <f t="shared" si="9"/>
        <v/>
      </c>
      <c r="L55" s="10" t="str">
        <f t="shared" si="10"/>
        <v/>
      </c>
      <c r="M55" s="8" t="str">
        <f t="shared" si="11"/>
        <v/>
      </c>
      <c r="N55" s="8" t="str">
        <f>IF($A55="","",SUMIFS('Player Game Log'!$F$4:$F$603,'Player Game Log'!$A$4:$A$603,A55))</f>
        <v/>
      </c>
      <c r="O55" s="8" t="str">
        <f>IF($A55="","",SUMIFS('Player Game Log'!$G$4:$G$603,'Player Game Log'!$A$4:$A$603,A55))</f>
        <v/>
      </c>
      <c r="P55" s="8" t="str">
        <f>IF($A55="","",SUMIFS('Player Game Log'!$H$4:$H$603,'Player Game Log'!$A$4:$A$603,A55))</f>
        <v/>
      </c>
      <c r="Q55" s="8" t="str">
        <f>IF($A55="","",SUMIFS('Player Game Log'!$I$4:$I$603,'Player Game Log'!$A$4:$A$603,A55))</f>
        <v/>
      </c>
      <c r="R55" s="8" t="str">
        <f>IF($A55="","",SUMIFS('Player Game Log'!$R$4:$R$603,'Player Game Log'!$A$4:$A$603,A55))</f>
        <v/>
      </c>
      <c r="S55" s="8" t="str">
        <f>IF($A55="","",SUMIFS('Player Game Log'!$S$4:$S$603,'Player Game Log'!$A$4:$A$603,A55))</f>
        <v/>
      </c>
      <c r="T55" s="8" t="str">
        <f>IF($A55="","",SUMIFS('Player Game Log'!$J$4:$J$603,'Player Game Log'!$A$4:$A$603,A55))</f>
        <v/>
      </c>
      <c r="U55" s="8" t="str">
        <f>IF($A55="","",SUMIFS('Player Game Log'!$K$4:$K$603,'Player Game Log'!$A$4:$A$603,A55))</f>
        <v/>
      </c>
      <c r="V55" s="8" t="str">
        <f>IF($A55="","",SUMIFS('Player Game Log'!$L$4:$L$603,'Player Game Log'!$A$4:$A$603,A55))</f>
        <v/>
      </c>
      <c r="W55" s="8" t="str">
        <f>IF($A55="","",SUMIFS('Player Game Log'!$M$4:$M$603,'Player Game Log'!$A$4:$A$603,A55))</f>
        <v/>
      </c>
      <c r="X55" s="8" t="str">
        <f>IF($A55="","",SUMIFS('Player Game Log'!$N$4:$N$603,'Player Game Log'!$A$4:$A$603,A55))</f>
        <v/>
      </c>
      <c r="Y55" s="8" t="str">
        <f>IF($A55="","",SUMIFS('Player Game Log'!$O$4:$O$603,'Player Game Log'!$A$4:$A$603,A55))</f>
        <v/>
      </c>
      <c r="Z55" s="8" t="str">
        <f>IF($A55="","",SUMIFS('Player Game Log'!$P$4:$P$603,'Player Game Log'!$A$4:$A$603,A55))</f>
        <v/>
      </c>
      <c r="AA55" s="8" t="str">
        <f>IF($A55="","",SUMIFS('Player Game Log'!$Q$4:$Q$603,'Player Game Log'!$A$4:$A$603,A55))</f>
        <v/>
      </c>
      <c r="AB55" s="8" t="str">
        <f>IF($A55="","",COUNTIFS('Player Game Log'!$A$4:$A$603,A55))</f>
        <v/>
      </c>
      <c r="AC55" s="10" t="str">
        <f>IF($A55="","",IF(COUNTIFS('Player Game Log'!$A$4:$A$603,A55)&gt;0,"Yes","No"))</f>
        <v/>
      </c>
    </row>
    <row r="56" spans="1:29" ht="15" customHeight="1">
      <c r="A56" s="4"/>
      <c r="B56" s="15"/>
      <c r="C56" s="4"/>
      <c r="D56" s="7"/>
      <c r="E56" s="7"/>
      <c r="F56" s="7"/>
      <c r="G56" s="7"/>
      <c r="H56" s="8" t="str">
        <f t="shared" si="6"/>
        <v/>
      </c>
      <c r="I56" s="8" t="str">
        <f t="shared" si="7"/>
        <v/>
      </c>
      <c r="J56" s="8" t="str">
        <f t="shared" si="8"/>
        <v/>
      </c>
      <c r="K56" s="8" t="str">
        <f t="shared" si="9"/>
        <v/>
      </c>
      <c r="L56" s="10" t="str">
        <f t="shared" si="10"/>
        <v/>
      </c>
      <c r="M56" s="8" t="str">
        <f t="shared" si="11"/>
        <v/>
      </c>
      <c r="N56" s="8" t="str">
        <f>IF($A56="","",SUMIFS('Player Game Log'!$F$4:$F$603,'Player Game Log'!$A$4:$A$603,A56))</f>
        <v/>
      </c>
      <c r="O56" s="8" t="str">
        <f>IF($A56="","",SUMIFS('Player Game Log'!$G$4:$G$603,'Player Game Log'!$A$4:$A$603,A56))</f>
        <v/>
      </c>
      <c r="P56" s="8" t="str">
        <f>IF($A56="","",SUMIFS('Player Game Log'!$H$4:$H$603,'Player Game Log'!$A$4:$A$603,A56))</f>
        <v/>
      </c>
      <c r="Q56" s="8" t="str">
        <f>IF($A56="","",SUMIFS('Player Game Log'!$I$4:$I$603,'Player Game Log'!$A$4:$A$603,A56))</f>
        <v/>
      </c>
      <c r="R56" s="8" t="str">
        <f>IF($A56="","",SUMIFS('Player Game Log'!$R$4:$R$603,'Player Game Log'!$A$4:$A$603,A56))</f>
        <v/>
      </c>
      <c r="S56" s="8" t="str">
        <f>IF($A56="","",SUMIFS('Player Game Log'!$S$4:$S$603,'Player Game Log'!$A$4:$A$603,A56))</f>
        <v/>
      </c>
      <c r="T56" s="8" t="str">
        <f>IF($A56="","",SUMIFS('Player Game Log'!$J$4:$J$603,'Player Game Log'!$A$4:$A$603,A56))</f>
        <v/>
      </c>
      <c r="U56" s="8" t="str">
        <f>IF($A56="","",SUMIFS('Player Game Log'!$K$4:$K$603,'Player Game Log'!$A$4:$A$603,A56))</f>
        <v/>
      </c>
      <c r="V56" s="8" t="str">
        <f>IF($A56="","",SUMIFS('Player Game Log'!$L$4:$L$603,'Player Game Log'!$A$4:$A$603,A56))</f>
        <v/>
      </c>
      <c r="W56" s="8" t="str">
        <f>IF($A56="","",SUMIFS('Player Game Log'!$M$4:$M$603,'Player Game Log'!$A$4:$A$603,A56))</f>
        <v/>
      </c>
      <c r="X56" s="8" t="str">
        <f>IF($A56="","",SUMIFS('Player Game Log'!$N$4:$N$603,'Player Game Log'!$A$4:$A$603,A56))</f>
        <v/>
      </c>
      <c r="Y56" s="8" t="str">
        <f>IF($A56="","",SUMIFS('Player Game Log'!$O$4:$O$603,'Player Game Log'!$A$4:$A$603,A56))</f>
        <v/>
      </c>
      <c r="Z56" s="8" t="str">
        <f>IF($A56="","",SUMIFS('Player Game Log'!$P$4:$P$603,'Player Game Log'!$A$4:$A$603,A56))</f>
        <v/>
      </c>
      <c r="AA56" s="8" t="str">
        <f>IF($A56="","",SUMIFS('Player Game Log'!$Q$4:$Q$603,'Player Game Log'!$A$4:$A$603,A56))</f>
        <v/>
      </c>
      <c r="AB56" s="8" t="str">
        <f>IF($A56="","",COUNTIFS('Player Game Log'!$A$4:$A$603,A56))</f>
        <v/>
      </c>
      <c r="AC56" s="10" t="str">
        <f>IF($A56="","",IF(COUNTIFS('Player Game Log'!$A$4:$A$603,A56)&gt;0,"Yes","No"))</f>
        <v/>
      </c>
    </row>
    <row r="57" spans="1:29" ht="15" customHeight="1">
      <c r="A57" s="4"/>
      <c r="B57" s="15"/>
      <c r="C57" s="4"/>
      <c r="D57" s="7"/>
      <c r="E57" s="7"/>
      <c r="F57" s="7"/>
      <c r="G57" s="7"/>
      <c r="H57" s="8" t="str">
        <f t="shared" si="6"/>
        <v/>
      </c>
      <c r="I57" s="8" t="str">
        <f t="shared" si="7"/>
        <v/>
      </c>
      <c r="J57" s="8" t="str">
        <f t="shared" si="8"/>
        <v/>
      </c>
      <c r="K57" s="8" t="str">
        <f t="shared" si="9"/>
        <v/>
      </c>
      <c r="L57" s="10" t="str">
        <f t="shared" si="10"/>
        <v/>
      </c>
      <c r="M57" s="8" t="str">
        <f t="shared" si="11"/>
        <v/>
      </c>
      <c r="N57" s="8" t="str">
        <f>IF($A57="","",SUMIFS('Player Game Log'!$F$4:$F$603,'Player Game Log'!$A$4:$A$603,A57))</f>
        <v/>
      </c>
      <c r="O57" s="8" t="str">
        <f>IF($A57="","",SUMIFS('Player Game Log'!$G$4:$G$603,'Player Game Log'!$A$4:$A$603,A57))</f>
        <v/>
      </c>
      <c r="P57" s="8" t="str">
        <f>IF($A57="","",SUMIFS('Player Game Log'!$H$4:$H$603,'Player Game Log'!$A$4:$A$603,A57))</f>
        <v/>
      </c>
      <c r="Q57" s="8" t="str">
        <f>IF($A57="","",SUMIFS('Player Game Log'!$I$4:$I$603,'Player Game Log'!$A$4:$A$603,A57))</f>
        <v/>
      </c>
      <c r="R57" s="8" t="str">
        <f>IF($A57="","",SUMIFS('Player Game Log'!$R$4:$R$603,'Player Game Log'!$A$4:$A$603,A57))</f>
        <v/>
      </c>
      <c r="S57" s="8" t="str">
        <f>IF($A57="","",SUMIFS('Player Game Log'!$S$4:$S$603,'Player Game Log'!$A$4:$A$603,A57))</f>
        <v/>
      </c>
      <c r="T57" s="8" t="str">
        <f>IF($A57="","",SUMIFS('Player Game Log'!$J$4:$J$603,'Player Game Log'!$A$4:$A$603,A57))</f>
        <v/>
      </c>
      <c r="U57" s="8" t="str">
        <f>IF($A57="","",SUMIFS('Player Game Log'!$K$4:$K$603,'Player Game Log'!$A$4:$A$603,A57))</f>
        <v/>
      </c>
      <c r="V57" s="8" t="str">
        <f>IF($A57="","",SUMIFS('Player Game Log'!$L$4:$L$603,'Player Game Log'!$A$4:$A$603,A57))</f>
        <v/>
      </c>
      <c r="W57" s="8" t="str">
        <f>IF($A57="","",SUMIFS('Player Game Log'!$M$4:$M$603,'Player Game Log'!$A$4:$A$603,A57))</f>
        <v/>
      </c>
      <c r="X57" s="8" t="str">
        <f>IF($A57="","",SUMIFS('Player Game Log'!$N$4:$N$603,'Player Game Log'!$A$4:$A$603,A57))</f>
        <v/>
      </c>
      <c r="Y57" s="8" t="str">
        <f>IF($A57="","",SUMIFS('Player Game Log'!$O$4:$O$603,'Player Game Log'!$A$4:$A$603,A57))</f>
        <v/>
      </c>
      <c r="Z57" s="8" t="str">
        <f>IF($A57="","",SUMIFS('Player Game Log'!$P$4:$P$603,'Player Game Log'!$A$4:$A$603,A57))</f>
        <v/>
      </c>
      <c r="AA57" s="8" t="str">
        <f>IF($A57="","",SUMIFS('Player Game Log'!$Q$4:$Q$603,'Player Game Log'!$A$4:$A$603,A57))</f>
        <v/>
      </c>
      <c r="AB57" s="8" t="str">
        <f>IF($A57="","",COUNTIFS('Player Game Log'!$A$4:$A$603,A57))</f>
        <v/>
      </c>
      <c r="AC57" s="10" t="str">
        <f>IF($A57="","",IF(COUNTIFS('Player Game Log'!$A$4:$A$603,A57)&gt;0,"Yes","No"))</f>
        <v/>
      </c>
    </row>
    <row r="58" spans="1:29" ht="15" customHeight="1">
      <c r="A58" s="4"/>
      <c r="B58" s="15"/>
      <c r="C58" s="4"/>
      <c r="D58" s="7"/>
      <c r="E58" s="7"/>
      <c r="F58" s="7"/>
      <c r="G58" s="7"/>
      <c r="H58" s="8" t="str">
        <f t="shared" si="6"/>
        <v/>
      </c>
      <c r="I58" s="8" t="str">
        <f t="shared" si="7"/>
        <v/>
      </c>
      <c r="J58" s="8" t="str">
        <f t="shared" si="8"/>
        <v/>
      </c>
      <c r="K58" s="8" t="str">
        <f t="shared" si="9"/>
        <v/>
      </c>
      <c r="L58" s="10" t="str">
        <f t="shared" si="10"/>
        <v/>
      </c>
      <c r="M58" s="8" t="str">
        <f t="shared" si="11"/>
        <v/>
      </c>
      <c r="N58" s="8" t="str">
        <f>IF($A58="","",SUMIFS('Player Game Log'!$F$4:$F$603,'Player Game Log'!$A$4:$A$603,A58))</f>
        <v/>
      </c>
      <c r="O58" s="8" t="str">
        <f>IF($A58="","",SUMIFS('Player Game Log'!$G$4:$G$603,'Player Game Log'!$A$4:$A$603,A58))</f>
        <v/>
      </c>
      <c r="P58" s="8" t="str">
        <f>IF($A58="","",SUMIFS('Player Game Log'!$H$4:$H$603,'Player Game Log'!$A$4:$A$603,A58))</f>
        <v/>
      </c>
      <c r="Q58" s="8" t="str">
        <f>IF($A58="","",SUMIFS('Player Game Log'!$I$4:$I$603,'Player Game Log'!$A$4:$A$603,A58))</f>
        <v/>
      </c>
      <c r="R58" s="8" t="str">
        <f>IF($A58="","",SUMIFS('Player Game Log'!$R$4:$R$603,'Player Game Log'!$A$4:$A$603,A58))</f>
        <v/>
      </c>
      <c r="S58" s="8" t="str">
        <f>IF($A58="","",SUMIFS('Player Game Log'!$S$4:$S$603,'Player Game Log'!$A$4:$A$603,A58))</f>
        <v/>
      </c>
      <c r="T58" s="8" t="str">
        <f>IF($A58="","",SUMIFS('Player Game Log'!$J$4:$J$603,'Player Game Log'!$A$4:$A$603,A58))</f>
        <v/>
      </c>
      <c r="U58" s="8" t="str">
        <f>IF($A58="","",SUMIFS('Player Game Log'!$K$4:$K$603,'Player Game Log'!$A$4:$A$603,A58))</f>
        <v/>
      </c>
      <c r="V58" s="8" t="str">
        <f>IF($A58="","",SUMIFS('Player Game Log'!$L$4:$L$603,'Player Game Log'!$A$4:$A$603,A58))</f>
        <v/>
      </c>
      <c r="W58" s="8" t="str">
        <f>IF($A58="","",SUMIFS('Player Game Log'!$M$4:$M$603,'Player Game Log'!$A$4:$A$603,A58))</f>
        <v/>
      </c>
      <c r="X58" s="8" t="str">
        <f>IF($A58="","",SUMIFS('Player Game Log'!$N$4:$N$603,'Player Game Log'!$A$4:$A$603,A58))</f>
        <v/>
      </c>
      <c r="Y58" s="8" t="str">
        <f>IF($A58="","",SUMIFS('Player Game Log'!$O$4:$O$603,'Player Game Log'!$A$4:$A$603,A58))</f>
        <v/>
      </c>
      <c r="Z58" s="8" t="str">
        <f>IF($A58="","",SUMIFS('Player Game Log'!$P$4:$P$603,'Player Game Log'!$A$4:$A$603,A58))</f>
        <v/>
      </c>
      <c r="AA58" s="8" t="str">
        <f>IF($A58="","",SUMIFS('Player Game Log'!$Q$4:$Q$603,'Player Game Log'!$A$4:$A$603,A58))</f>
        <v/>
      </c>
      <c r="AB58" s="8" t="str">
        <f>IF($A58="","",COUNTIFS('Player Game Log'!$A$4:$A$603,A58))</f>
        <v/>
      </c>
      <c r="AC58" s="10" t="str">
        <f>IF($A58="","",IF(COUNTIFS('Player Game Log'!$A$4:$A$603,A58)&gt;0,"Yes","No"))</f>
        <v/>
      </c>
    </row>
    <row r="59" spans="1:29" ht="15" customHeight="1">
      <c r="A59" s="4"/>
      <c r="B59" s="15"/>
      <c r="C59" s="4"/>
      <c r="D59" s="7"/>
      <c r="E59" s="7"/>
      <c r="F59" s="7"/>
      <c r="G59" s="7"/>
      <c r="H59" s="8" t="str">
        <f t="shared" si="6"/>
        <v/>
      </c>
      <c r="I59" s="8" t="str">
        <f t="shared" si="7"/>
        <v/>
      </c>
      <c r="J59" s="8" t="str">
        <f t="shared" si="8"/>
        <v/>
      </c>
      <c r="K59" s="8" t="str">
        <f t="shared" si="9"/>
        <v/>
      </c>
      <c r="L59" s="10" t="str">
        <f t="shared" si="10"/>
        <v/>
      </c>
      <c r="M59" s="8" t="str">
        <f t="shared" si="11"/>
        <v/>
      </c>
      <c r="N59" s="8" t="str">
        <f>IF($A59="","",SUMIFS('Player Game Log'!$F$4:$F$603,'Player Game Log'!$A$4:$A$603,A59))</f>
        <v/>
      </c>
      <c r="O59" s="8" t="str">
        <f>IF($A59="","",SUMIFS('Player Game Log'!$G$4:$G$603,'Player Game Log'!$A$4:$A$603,A59))</f>
        <v/>
      </c>
      <c r="P59" s="8" t="str">
        <f>IF($A59="","",SUMIFS('Player Game Log'!$H$4:$H$603,'Player Game Log'!$A$4:$A$603,A59))</f>
        <v/>
      </c>
      <c r="Q59" s="8" t="str">
        <f>IF($A59="","",SUMIFS('Player Game Log'!$I$4:$I$603,'Player Game Log'!$A$4:$A$603,A59))</f>
        <v/>
      </c>
      <c r="R59" s="8" t="str">
        <f>IF($A59="","",SUMIFS('Player Game Log'!$R$4:$R$603,'Player Game Log'!$A$4:$A$603,A59))</f>
        <v/>
      </c>
      <c r="S59" s="8" t="str">
        <f>IF($A59="","",SUMIFS('Player Game Log'!$S$4:$S$603,'Player Game Log'!$A$4:$A$603,A59))</f>
        <v/>
      </c>
      <c r="T59" s="8" t="str">
        <f>IF($A59="","",SUMIFS('Player Game Log'!$J$4:$J$603,'Player Game Log'!$A$4:$A$603,A59))</f>
        <v/>
      </c>
      <c r="U59" s="8" t="str">
        <f>IF($A59="","",SUMIFS('Player Game Log'!$K$4:$K$603,'Player Game Log'!$A$4:$A$603,A59))</f>
        <v/>
      </c>
      <c r="V59" s="8" t="str">
        <f>IF($A59="","",SUMIFS('Player Game Log'!$L$4:$L$603,'Player Game Log'!$A$4:$A$603,A59))</f>
        <v/>
      </c>
      <c r="W59" s="8" t="str">
        <f>IF($A59="","",SUMIFS('Player Game Log'!$M$4:$M$603,'Player Game Log'!$A$4:$A$603,A59))</f>
        <v/>
      </c>
      <c r="X59" s="8" t="str">
        <f>IF($A59="","",SUMIFS('Player Game Log'!$N$4:$N$603,'Player Game Log'!$A$4:$A$603,A59))</f>
        <v/>
      </c>
      <c r="Y59" s="8" t="str">
        <f>IF($A59="","",SUMIFS('Player Game Log'!$O$4:$O$603,'Player Game Log'!$A$4:$A$603,A59))</f>
        <v/>
      </c>
      <c r="Z59" s="8" t="str">
        <f>IF($A59="","",SUMIFS('Player Game Log'!$P$4:$P$603,'Player Game Log'!$A$4:$A$603,A59))</f>
        <v/>
      </c>
      <c r="AA59" s="8" t="str">
        <f>IF($A59="","",SUMIFS('Player Game Log'!$Q$4:$Q$603,'Player Game Log'!$A$4:$A$603,A59))</f>
        <v/>
      </c>
      <c r="AB59" s="8" t="str">
        <f>IF($A59="","",COUNTIFS('Player Game Log'!$A$4:$A$603,A59))</f>
        <v/>
      </c>
      <c r="AC59" s="10" t="str">
        <f>IF($A59="","",IF(COUNTIFS('Player Game Log'!$A$4:$A$603,A59)&gt;0,"Yes","No"))</f>
        <v/>
      </c>
    </row>
    <row r="60" spans="1:29" ht="15" customHeight="1">
      <c r="A60" s="4"/>
      <c r="B60" s="15"/>
      <c r="C60" s="4"/>
      <c r="D60" s="7"/>
      <c r="E60" s="7"/>
      <c r="F60" s="7"/>
      <c r="G60" s="7"/>
      <c r="H60" s="8" t="str">
        <f t="shared" si="6"/>
        <v/>
      </c>
      <c r="I60" s="8" t="str">
        <f t="shared" si="7"/>
        <v/>
      </c>
      <c r="J60" s="8" t="str">
        <f t="shared" si="8"/>
        <v/>
      </c>
      <c r="K60" s="8" t="str">
        <f t="shared" si="9"/>
        <v/>
      </c>
      <c r="L60" s="10" t="str">
        <f t="shared" si="10"/>
        <v/>
      </c>
      <c r="M60" s="8" t="str">
        <f t="shared" si="11"/>
        <v/>
      </c>
      <c r="N60" s="8" t="str">
        <f>IF($A60="","",SUMIFS('Player Game Log'!$F$4:$F$603,'Player Game Log'!$A$4:$A$603,A60))</f>
        <v/>
      </c>
      <c r="O60" s="8" t="str">
        <f>IF($A60="","",SUMIFS('Player Game Log'!$G$4:$G$603,'Player Game Log'!$A$4:$A$603,A60))</f>
        <v/>
      </c>
      <c r="P60" s="8" t="str">
        <f>IF($A60="","",SUMIFS('Player Game Log'!$H$4:$H$603,'Player Game Log'!$A$4:$A$603,A60))</f>
        <v/>
      </c>
      <c r="Q60" s="8" t="str">
        <f>IF($A60="","",SUMIFS('Player Game Log'!$I$4:$I$603,'Player Game Log'!$A$4:$A$603,A60))</f>
        <v/>
      </c>
      <c r="R60" s="8" t="str">
        <f>IF($A60="","",SUMIFS('Player Game Log'!$R$4:$R$603,'Player Game Log'!$A$4:$A$603,A60))</f>
        <v/>
      </c>
      <c r="S60" s="8" t="str">
        <f>IF($A60="","",SUMIFS('Player Game Log'!$S$4:$S$603,'Player Game Log'!$A$4:$A$603,A60))</f>
        <v/>
      </c>
      <c r="T60" s="8" t="str">
        <f>IF($A60="","",SUMIFS('Player Game Log'!$J$4:$J$603,'Player Game Log'!$A$4:$A$603,A60))</f>
        <v/>
      </c>
      <c r="U60" s="8" t="str">
        <f>IF($A60="","",SUMIFS('Player Game Log'!$K$4:$K$603,'Player Game Log'!$A$4:$A$603,A60))</f>
        <v/>
      </c>
      <c r="V60" s="8" t="str">
        <f>IF($A60="","",SUMIFS('Player Game Log'!$L$4:$L$603,'Player Game Log'!$A$4:$A$603,A60))</f>
        <v/>
      </c>
      <c r="W60" s="8" t="str">
        <f>IF($A60="","",SUMIFS('Player Game Log'!$M$4:$M$603,'Player Game Log'!$A$4:$A$603,A60))</f>
        <v/>
      </c>
      <c r="X60" s="8" t="str">
        <f>IF($A60="","",SUMIFS('Player Game Log'!$N$4:$N$603,'Player Game Log'!$A$4:$A$603,A60))</f>
        <v/>
      </c>
      <c r="Y60" s="8" t="str">
        <f>IF($A60="","",SUMIFS('Player Game Log'!$O$4:$O$603,'Player Game Log'!$A$4:$A$603,A60))</f>
        <v/>
      </c>
      <c r="Z60" s="8" t="str">
        <f>IF($A60="","",SUMIFS('Player Game Log'!$P$4:$P$603,'Player Game Log'!$A$4:$A$603,A60))</f>
        <v/>
      </c>
      <c r="AA60" s="8" t="str">
        <f>IF($A60="","",SUMIFS('Player Game Log'!$Q$4:$Q$603,'Player Game Log'!$A$4:$A$603,A60))</f>
        <v/>
      </c>
      <c r="AB60" s="8" t="str">
        <f>IF($A60="","",COUNTIFS('Player Game Log'!$A$4:$A$603,A60))</f>
        <v/>
      </c>
      <c r="AC60" s="10" t="str">
        <f>IF($A60="","",IF(COUNTIFS('Player Game Log'!$A$4:$A$603,A60)&gt;0,"Yes","No"))</f>
        <v/>
      </c>
    </row>
    <row r="61" spans="1:29" ht="15" customHeight="1">
      <c r="A61" s="4"/>
      <c r="B61" s="15"/>
      <c r="C61" s="4"/>
      <c r="D61" s="7"/>
      <c r="E61" s="7"/>
      <c r="F61" s="7"/>
      <c r="G61" s="7"/>
      <c r="H61" s="8" t="str">
        <f t="shared" si="6"/>
        <v/>
      </c>
      <c r="I61" s="8" t="str">
        <f t="shared" si="7"/>
        <v/>
      </c>
      <c r="J61" s="8" t="str">
        <f t="shared" si="8"/>
        <v/>
      </c>
      <c r="K61" s="8" t="str">
        <f t="shared" si="9"/>
        <v/>
      </c>
      <c r="L61" s="10" t="str">
        <f t="shared" si="10"/>
        <v/>
      </c>
      <c r="M61" s="8" t="str">
        <f t="shared" si="11"/>
        <v/>
      </c>
      <c r="N61" s="8" t="str">
        <f>IF($A61="","",SUMIFS('Player Game Log'!$F$4:$F$603,'Player Game Log'!$A$4:$A$603,A61))</f>
        <v/>
      </c>
      <c r="O61" s="8" t="str">
        <f>IF($A61="","",SUMIFS('Player Game Log'!$G$4:$G$603,'Player Game Log'!$A$4:$A$603,A61))</f>
        <v/>
      </c>
      <c r="P61" s="8" t="str">
        <f>IF($A61="","",SUMIFS('Player Game Log'!$H$4:$H$603,'Player Game Log'!$A$4:$A$603,A61))</f>
        <v/>
      </c>
      <c r="Q61" s="8" t="str">
        <f>IF($A61="","",SUMIFS('Player Game Log'!$I$4:$I$603,'Player Game Log'!$A$4:$A$603,A61))</f>
        <v/>
      </c>
      <c r="R61" s="8" t="str">
        <f>IF($A61="","",SUMIFS('Player Game Log'!$R$4:$R$603,'Player Game Log'!$A$4:$A$603,A61))</f>
        <v/>
      </c>
      <c r="S61" s="8" t="str">
        <f>IF($A61="","",SUMIFS('Player Game Log'!$S$4:$S$603,'Player Game Log'!$A$4:$A$603,A61))</f>
        <v/>
      </c>
      <c r="T61" s="8" t="str">
        <f>IF($A61="","",SUMIFS('Player Game Log'!$J$4:$J$603,'Player Game Log'!$A$4:$A$603,A61))</f>
        <v/>
      </c>
      <c r="U61" s="8" t="str">
        <f>IF($A61="","",SUMIFS('Player Game Log'!$K$4:$K$603,'Player Game Log'!$A$4:$A$603,A61))</f>
        <v/>
      </c>
      <c r="V61" s="8" t="str">
        <f>IF($A61="","",SUMIFS('Player Game Log'!$L$4:$L$603,'Player Game Log'!$A$4:$A$603,A61))</f>
        <v/>
      </c>
      <c r="W61" s="8" t="str">
        <f>IF($A61="","",SUMIFS('Player Game Log'!$M$4:$M$603,'Player Game Log'!$A$4:$A$603,A61))</f>
        <v/>
      </c>
      <c r="X61" s="8" t="str">
        <f>IF($A61="","",SUMIFS('Player Game Log'!$N$4:$N$603,'Player Game Log'!$A$4:$A$603,A61))</f>
        <v/>
      </c>
      <c r="Y61" s="8" t="str">
        <f>IF($A61="","",SUMIFS('Player Game Log'!$O$4:$O$603,'Player Game Log'!$A$4:$A$603,A61))</f>
        <v/>
      </c>
      <c r="Z61" s="8" t="str">
        <f>IF($A61="","",SUMIFS('Player Game Log'!$P$4:$P$603,'Player Game Log'!$A$4:$A$603,A61))</f>
        <v/>
      </c>
      <c r="AA61" s="8" t="str">
        <f>IF($A61="","",SUMIFS('Player Game Log'!$Q$4:$Q$603,'Player Game Log'!$A$4:$A$603,A61))</f>
        <v/>
      </c>
      <c r="AB61" s="8" t="str">
        <f>IF($A61="","",COUNTIFS('Player Game Log'!$A$4:$A$603,A61))</f>
        <v/>
      </c>
      <c r="AC61" s="10" t="str">
        <f>IF($A61="","",IF(COUNTIFS('Player Game Log'!$A$4:$A$603,A61)&gt;0,"Yes","No"))</f>
        <v/>
      </c>
    </row>
    <row r="62" spans="1:29" ht="15" customHeight="1">
      <c r="A62" s="4"/>
      <c r="B62" s="15"/>
      <c r="C62" s="4"/>
      <c r="D62" s="7"/>
      <c r="E62" s="7"/>
      <c r="F62" s="7"/>
      <c r="G62" s="7"/>
      <c r="H62" s="8" t="str">
        <f t="shared" si="6"/>
        <v/>
      </c>
      <c r="I62" s="8" t="str">
        <f t="shared" si="7"/>
        <v/>
      </c>
      <c r="J62" s="8" t="str">
        <f t="shared" si="8"/>
        <v/>
      </c>
      <c r="K62" s="8" t="str">
        <f t="shared" si="9"/>
        <v/>
      </c>
      <c r="L62" s="10" t="str">
        <f t="shared" si="10"/>
        <v/>
      </c>
      <c r="M62" s="8" t="str">
        <f t="shared" si="11"/>
        <v/>
      </c>
      <c r="N62" s="8" t="str">
        <f>IF($A62="","",SUMIFS('Player Game Log'!$F$4:$F$603,'Player Game Log'!$A$4:$A$603,A62))</f>
        <v/>
      </c>
      <c r="O62" s="8" t="str">
        <f>IF($A62="","",SUMIFS('Player Game Log'!$G$4:$G$603,'Player Game Log'!$A$4:$A$603,A62))</f>
        <v/>
      </c>
      <c r="P62" s="8" t="str">
        <f>IF($A62="","",SUMIFS('Player Game Log'!$H$4:$H$603,'Player Game Log'!$A$4:$A$603,A62))</f>
        <v/>
      </c>
      <c r="Q62" s="8" t="str">
        <f>IF($A62="","",SUMIFS('Player Game Log'!$I$4:$I$603,'Player Game Log'!$A$4:$A$603,A62))</f>
        <v/>
      </c>
      <c r="R62" s="8" t="str">
        <f>IF($A62="","",SUMIFS('Player Game Log'!$R$4:$R$603,'Player Game Log'!$A$4:$A$603,A62))</f>
        <v/>
      </c>
      <c r="S62" s="8" t="str">
        <f>IF($A62="","",SUMIFS('Player Game Log'!$S$4:$S$603,'Player Game Log'!$A$4:$A$603,A62))</f>
        <v/>
      </c>
      <c r="T62" s="8" t="str">
        <f>IF($A62="","",SUMIFS('Player Game Log'!$J$4:$J$603,'Player Game Log'!$A$4:$A$603,A62))</f>
        <v/>
      </c>
      <c r="U62" s="8" t="str">
        <f>IF($A62="","",SUMIFS('Player Game Log'!$K$4:$K$603,'Player Game Log'!$A$4:$A$603,A62))</f>
        <v/>
      </c>
      <c r="V62" s="8" t="str">
        <f>IF($A62="","",SUMIFS('Player Game Log'!$L$4:$L$603,'Player Game Log'!$A$4:$A$603,A62))</f>
        <v/>
      </c>
      <c r="W62" s="8" t="str">
        <f>IF($A62="","",SUMIFS('Player Game Log'!$M$4:$M$603,'Player Game Log'!$A$4:$A$603,A62))</f>
        <v/>
      </c>
      <c r="X62" s="8" t="str">
        <f>IF($A62="","",SUMIFS('Player Game Log'!$N$4:$N$603,'Player Game Log'!$A$4:$A$603,A62))</f>
        <v/>
      </c>
      <c r="Y62" s="8" t="str">
        <f>IF($A62="","",SUMIFS('Player Game Log'!$O$4:$O$603,'Player Game Log'!$A$4:$A$603,A62))</f>
        <v/>
      </c>
      <c r="Z62" s="8" t="str">
        <f>IF($A62="","",SUMIFS('Player Game Log'!$P$4:$P$603,'Player Game Log'!$A$4:$A$603,A62))</f>
        <v/>
      </c>
      <c r="AA62" s="8" t="str">
        <f>IF($A62="","",SUMIFS('Player Game Log'!$Q$4:$Q$603,'Player Game Log'!$A$4:$A$603,A62))</f>
        <v/>
      </c>
      <c r="AB62" s="8" t="str">
        <f>IF($A62="","",COUNTIFS('Player Game Log'!$A$4:$A$603,A62))</f>
        <v/>
      </c>
      <c r="AC62" s="10" t="str">
        <f>IF($A62="","",IF(COUNTIFS('Player Game Log'!$A$4:$A$603,A62)&gt;0,"Yes","No"))</f>
        <v/>
      </c>
    </row>
    <row r="63" spans="1:29" ht="15" customHeight="1">
      <c r="A63" s="4"/>
      <c r="B63" s="15"/>
      <c r="C63" s="4"/>
      <c r="D63" s="7"/>
      <c r="E63" s="7"/>
      <c r="F63" s="7"/>
      <c r="G63" s="7"/>
      <c r="H63" s="8" t="str">
        <f t="shared" si="6"/>
        <v/>
      </c>
      <c r="I63" s="8" t="str">
        <f t="shared" si="7"/>
        <v/>
      </c>
      <c r="J63" s="8" t="str">
        <f t="shared" si="8"/>
        <v/>
      </c>
      <c r="K63" s="8" t="str">
        <f t="shared" si="9"/>
        <v/>
      </c>
      <c r="L63" s="10" t="str">
        <f t="shared" si="10"/>
        <v/>
      </c>
      <c r="M63" s="8" t="str">
        <f t="shared" si="11"/>
        <v/>
      </c>
      <c r="N63" s="8" t="str">
        <f>IF($A63="","",SUMIFS('Player Game Log'!$F$4:$F$603,'Player Game Log'!$A$4:$A$603,A63))</f>
        <v/>
      </c>
      <c r="O63" s="8" t="str">
        <f>IF($A63="","",SUMIFS('Player Game Log'!$G$4:$G$603,'Player Game Log'!$A$4:$A$603,A63))</f>
        <v/>
      </c>
      <c r="P63" s="8" t="str">
        <f>IF($A63="","",SUMIFS('Player Game Log'!$H$4:$H$603,'Player Game Log'!$A$4:$A$603,A63))</f>
        <v/>
      </c>
      <c r="Q63" s="8" t="str">
        <f>IF($A63="","",SUMIFS('Player Game Log'!$I$4:$I$603,'Player Game Log'!$A$4:$A$603,A63))</f>
        <v/>
      </c>
      <c r="R63" s="8" t="str">
        <f>IF($A63="","",SUMIFS('Player Game Log'!$R$4:$R$603,'Player Game Log'!$A$4:$A$603,A63))</f>
        <v/>
      </c>
      <c r="S63" s="8" t="str">
        <f>IF($A63="","",SUMIFS('Player Game Log'!$S$4:$S$603,'Player Game Log'!$A$4:$A$603,A63))</f>
        <v/>
      </c>
      <c r="T63" s="8" t="str">
        <f>IF($A63="","",SUMIFS('Player Game Log'!$J$4:$J$603,'Player Game Log'!$A$4:$A$603,A63))</f>
        <v/>
      </c>
      <c r="U63" s="8" t="str">
        <f>IF($A63="","",SUMIFS('Player Game Log'!$K$4:$K$603,'Player Game Log'!$A$4:$A$603,A63))</f>
        <v/>
      </c>
      <c r="V63" s="8" t="str">
        <f>IF($A63="","",SUMIFS('Player Game Log'!$L$4:$L$603,'Player Game Log'!$A$4:$A$603,A63))</f>
        <v/>
      </c>
      <c r="W63" s="8" t="str">
        <f>IF($A63="","",SUMIFS('Player Game Log'!$M$4:$M$603,'Player Game Log'!$A$4:$A$603,A63))</f>
        <v/>
      </c>
      <c r="X63" s="8" t="str">
        <f>IF($A63="","",SUMIFS('Player Game Log'!$N$4:$N$603,'Player Game Log'!$A$4:$A$603,A63))</f>
        <v/>
      </c>
      <c r="Y63" s="8" t="str">
        <f>IF($A63="","",SUMIFS('Player Game Log'!$O$4:$O$603,'Player Game Log'!$A$4:$A$603,A63))</f>
        <v/>
      </c>
      <c r="Z63" s="8" t="str">
        <f>IF($A63="","",SUMIFS('Player Game Log'!$P$4:$P$603,'Player Game Log'!$A$4:$A$603,A63))</f>
        <v/>
      </c>
      <c r="AA63" s="8" t="str">
        <f>IF($A63="","",SUMIFS('Player Game Log'!$Q$4:$Q$603,'Player Game Log'!$A$4:$A$603,A63))</f>
        <v/>
      </c>
      <c r="AB63" s="8" t="str">
        <f>IF($A63="","",COUNTIFS('Player Game Log'!$A$4:$A$603,A63))</f>
        <v/>
      </c>
      <c r="AC63" s="10" t="str">
        <f>IF($A63="","",IF(COUNTIFS('Player Game Log'!$A$4:$A$603,A63)&gt;0,"Yes","No"))</f>
        <v/>
      </c>
    </row>
    <row r="64" spans="1:29" ht="15" customHeight="1">
      <c r="A64" s="4"/>
      <c r="B64" s="15"/>
      <c r="C64" s="4"/>
      <c r="D64" s="7"/>
      <c r="E64" s="7"/>
      <c r="F64" s="7"/>
      <c r="G64" s="7"/>
      <c r="H64" s="8" t="str">
        <f t="shared" si="6"/>
        <v/>
      </c>
      <c r="I64" s="8" t="str">
        <f t="shared" si="7"/>
        <v/>
      </c>
      <c r="J64" s="8" t="str">
        <f t="shared" si="8"/>
        <v/>
      </c>
      <c r="K64" s="8" t="str">
        <f t="shared" si="9"/>
        <v/>
      </c>
      <c r="L64" s="10" t="str">
        <f t="shared" si="10"/>
        <v/>
      </c>
      <c r="M64" s="8" t="str">
        <f t="shared" si="11"/>
        <v/>
      </c>
      <c r="N64" s="8" t="str">
        <f>IF($A64="","",SUMIFS('Player Game Log'!$F$4:$F$603,'Player Game Log'!$A$4:$A$603,A64))</f>
        <v/>
      </c>
      <c r="O64" s="8" t="str">
        <f>IF($A64="","",SUMIFS('Player Game Log'!$G$4:$G$603,'Player Game Log'!$A$4:$A$603,A64))</f>
        <v/>
      </c>
      <c r="P64" s="8" t="str">
        <f>IF($A64="","",SUMIFS('Player Game Log'!$H$4:$H$603,'Player Game Log'!$A$4:$A$603,A64))</f>
        <v/>
      </c>
      <c r="Q64" s="8" t="str">
        <f>IF($A64="","",SUMIFS('Player Game Log'!$I$4:$I$603,'Player Game Log'!$A$4:$A$603,A64))</f>
        <v/>
      </c>
      <c r="R64" s="8" t="str">
        <f>IF($A64="","",SUMIFS('Player Game Log'!$R$4:$R$603,'Player Game Log'!$A$4:$A$603,A64))</f>
        <v/>
      </c>
      <c r="S64" s="8" t="str">
        <f>IF($A64="","",SUMIFS('Player Game Log'!$S$4:$S$603,'Player Game Log'!$A$4:$A$603,A64))</f>
        <v/>
      </c>
      <c r="T64" s="8" t="str">
        <f>IF($A64="","",SUMIFS('Player Game Log'!$J$4:$J$603,'Player Game Log'!$A$4:$A$603,A64))</f>
        <v/>
      </c>
      <c r="U64" s="8" t="str">
        <f>IF($A64="","",SUMIFS('Player Game Log'!$K$4:$K$603,'Player Game Log'!$A$4:$A$603,A64))</f>
        <v/>
      </c>
      <c r="V64" s="8" t="str">
        <f>IF($A64="","",SUMIFS('Player Game Log'!$L$4:$L$603,'Player Game Log'!$A$4:$A$603,A64))</f>
        <v/>
      </c>
      <c r="W64" s="8" t="str">
        <f>IF($A64="","",SUMIFS('Player Game Log'!$M$4:$M$603,'Player Game Log'!$A$4:$A$603,A64))</f>
        <v/>
      </c>
      <c r="X64" s="8" t="str">
        <f>IF($A64="","",SUMIFS('Player Game Log'!$N$4:$N$603,'Player Game Log'!$A$4:$A$603,A64))</f>
        <v/>
      </c>
      <c r="Y64" s="8" t="str">
        <f>IF($A64="","",SUMIFS('Player Game Log'!$O$4:$O$603,'Player Game Log'!$A$4:$A$603,A64))</f>
        <v/>
      </c>
      <c r="Z64" s="8" t="str">
        <f>IF($A64="","",SUMIFS('Player Game Log'!$P$4:$P$603,'Player Game Log'!$A$4:$A$603,A64))</f>
        <v/>
      </c>
      <c r="AA64" s="8" t="str">
        <f>IF($A64="","",SUMIFS('Player Game Log'!$Q$4:$Q$603,'Player Game Log'!$A$4:$A$603,A64))</f>
        <v/>
      </c>
      <c r="AB64" s="8" t="str">
        <f>IF($A64="","",COUNTIFS('Player Game Log'!$A$4:$A$603,A64))</f>
        <v/>
      </c>
      <c r="AC64" s="10" t="str">
        <f>IF($A64="","",IF(COUNTIFS('Player Game Log'!$A$4:$A$603,A64)&gt;0,"Yes","No"))</f>
        <v/>
      </c>
    </row>
    <row r="65" spans="1:29" ht="15" customHeight="1">
      <c r="A65" s="4"/>
      <c r="B65" s="15"/>
      <c r="C65" s="4"/>
      <c r="D65" s="7"/>
      <c r="E65" s="7"/>
      <c r="F65" s="7"/>
      <c r="G65" s="7"/>
      <c r="H65" s="8" t="str">
        <f t="shared" si="6"/>
        <v/>
      </c>
      <c r="I65" s="8" t="str">
        <f t="shared" si="7"/>
        <v/>
      </c>
      <c r="J65" s="8" t="str">
        <f t="shared" si="8"/>
        <v/>
      </c>
      <c r="K65" s="8" t="str">
        <f t="shared" si="9"/>
        <v/>
      </c>
      <c r="L65" s="10" t="str">
        <f t="shared" si="10"/>
        <v/>
      </c>
      <c r="M65" s="8" t="str">
        <f t="shared" si="11"/>
        <v/>
      </c>
      <c r="N65" s="8" t="str">
        <f>IF($A65="","",SUMIFS('Player Game Log'!$F$4:$F$603,'Player Game Log'!$A$4:$A$603,A65))</f>
        <v/>
      </c>
      <c r="O65" s="8" t="str">
        <f>IF($A65="","",SUMIFS('Player Game Log'!$G$4:$G$603,'Player Game Log'!$A$4:$A$603,A65))</f>
        <v/>
      </c>
      <c r="P65" s="8" t="str">
        <f>IF($A65="","",SUMIFS('Player Game Log'!$H$4:$H$603,'Player Game Log'!$A$4:$A$603,A65))</f>
        <v/>
      </c>
      <c r="Q65" s="8" t="str">
        <f>IF($A65="","",SUMIFS('Player Game Log'!$I$4:$I$603,'Player Game Log'!$A$4:$A$603,A65))</f>
        <v/>
      </c>
      <c r="R65" s="8" t="str">
        <f>IF($A65="","",SUMIFS('Player Game Log'!$R$4:$R$603,'Player Game Log'!$A$4:$A$603,A65))</f>
        <v/>
      </c>
      <c r="S65" s="8" t="str">
        <f>IF($A65="","",SUMIFS('Player Game Log'!$S$4:$S$603,'Player Game Log'!$A$4:$A$603,A65))</f>
        <v/>
      </c>
      <c r="T65" s="8" t="str">
        <f>IF($A65="","",SUMIFS('Player Game Log'!$J$4:$J$603,'Player Game Log'!$A$4:$A$603,A65))</f>
        <v/>
      </c>
      <c r="U65" s="8" t="str">
        <f>IF($A65="","",SUMIFS('Player Game Log'!$K$4:$K$603,'Player Game Log'!$A$4:$A$603,A65))</f>
        <v/>
      </c>
      <c r="V65" s="8" t="str">
        <f>IF($A65="","",SUMIFS('Player Game Log'!$L$4:$L$603,'Player Game Log'!$A$4:$A$603,A65))</f>
        <v/>
      </c>
      <c r="W65" s="8" t="str">
        <f>IF($A65="","",SUMIFS('Player Game Log'!$M$4:$M$603,'Player Game Log'!$A$4:$A$603,A65))</f>
        <v/>
      </c>
      <c r="X65" s="8" t="str">
        <f>IF($A65="","",SUMIFS('Player Game Log'!$N$4:$N$603,'Player Game Log'!$A$4:$A$603,A65))</f>
        <v/>
      </c>
      <c r="Y65" s="8" t="str">
        <f>IF($A65="","",SUMIFS('Player Game Log'!$O$4:$O$603,'Player Game Log'!$A$4:$A$603,A65))</f>
        <v/>
      </c>
      <c r="Z65" s="8" t="str">
        <f>IF($A65="","",SUMIFS('Player Game Log'!$P$4:$P$603,'Player Game Log'!$A$4:$A$603,A65))</f>
        <v/>
      </c>
      <c r="AA65" s="8" t="str">
        <f>IF($A65="","",SUMIFS('Player Game Log'!$Q$4:$Q$603,'Player Game Log'!$A$4:$A$603,A65))</f>
        <v/>
      </c>
      <c r="AB65" s="8" t="str">
        <f>IF($A65="","",COUNTIFS('Player Game Log'!$A$4:$A$603,A65))</f>
        <v/>
      </c>
      <c r="AC65" s="10" t="str">
        <f>IF($A65="","",IF(COUNTIFS('Player Game Log'!$A$4:$A$603,A65)&gt;0,"Yes","No"))</f>
        <v/>
      </c>
    </row>
    <row r="66" spans="1:29" ht="15" customHeight="1">
      <c r="A66" s="4"/>
      <c r="B66" s="15"/>
      <c r="C66" s="4"/>
      <c r="D66" s="7"/>
      <c r="E66" s="7"/>
      <c r="F66" s="7"/>
      <c r="G66" s="7"/>
      <c r="H66" s="8" t="str">
        <f t="shared" si="6"/>
        <v/>
      </c>
      <c r="I66" s="8" t="str">
        <f t="shared" si="7"/>
        <v/>
      </c>
      <c r="J66" s="8" t="str">
        <f t="shared" si="8"/>
        <v/>
      </c>
      <c r="K66" s="8" t="str">
        <f t="shared" si="9"/>
        <v/>
      </c>
      <c r="L66" s="10" t="str">
        <f t="shared" si="10"/>
        <v/>
      </c>
      <c r="M66" s="8" t="str">
        <f t="shared" si="11"/>
        <v/>
      </c>
      <c r="N66" s="8" t="str">
        <f>IF($A66="","",SUMIFS('Player Game Log'!$F$4:$F$603,'Player Game Log'!$A$4:$A$603,A66))</f>
        <v/>
      </c>
      <c r="O66" s="8" t="str">
        <f>IF($A66="","",SUMIFS('Player Game Log'!$G$4:$G$603,'Player Game Log'!$A$4:$A$603,A66))</f>
        <v/>
      </c>
      <c r="P66" s="8" t="str">
        <f>IF($A66="","",SUMIFS('Player Game Log'!$H$4:$H$603,'Player Game Log'!$A$4:$A$603,A66))</f>
        <v/>
      </c>
      <c r="Q66" s="8" t="str">
        <f>IF($A66="","",SUMIFS('Player Game Log'!$I$4:$I$603,'Player Game Log'!$A$4:$A$603,A66))</f>
        <v/>
      </c>
      <c r="R66" s="8" t="str">
        <f>IF($A66="","",SUMIFS('Player Game Log'!$R$4:$R$603,'Player Game Log'!$A$4:$A$603,A66))</f>
        <v/>
      </c>
      <c r="S66" s="8" t="str">
        <f>IF($A66="","",SUMIFS('Player Game Log'!$S$4:$S$603,'Player Game Log'!$A$4:$A$603,A66))</f>
        <v/>
      </c>
      <c r="T66" s="8" t="str">
        <f>IF($A66="","",SUMIFS('Player Game Log'!$J$4:$J$603,'Player Game Log'!$A$4:$A$603,A66))</f>
        <v/>
      </c>
      <c r="U66" s="8" t="str">
        <f>IF($A66="","",SUMIFS('Player Game Log'!$K$4:$K$603,'Player Game Log'!$A$4:$A$603,A66))</f>
        <v/>
      </c>
      <c r="V66" s="8" t="str">
        <f>IF($A66="","",SUMIFS('Player Game Log'!$L$4:$L$603,'Player Game Log'!$A$4:$A$603,A66))</f>
        <v/>
      </c>
      <c r="W66" s="8" t="str">
        <f>IF($A66="","",SUMIFS('Player Game Log'!$M$4:$M$603,'Player Game Log'!$A$4:$A$603,A66))</f>
        <v/>
      </c>
      <c r="X66" s="8" t="str">
        <f>IF($A66="","",SUMIFS('Player Game Log'!$N$4:$N$603,'Player Game Log'!$A$4:$A$603,A66))</f>
        <v/>
      </c>
      <c r="Y66" s="8" t="str">
        <f>IF($A66="","",SUMIFS('Player Game Log'!$O$4:$O$603,'Player Game Log'!$A$4:$A$603,A66))</f>
        <v/>
      </c>
      <c r="Z66" s="8" t="str">
        <f>IF($A66="","",SUMIFS('Player Game Log'!$P$4:$P$603,'Player Game Log'!$A$4:$A$603,A66))</f>
        <v/>
      </c>
      <c r="AA66" s="8" t="str">
        <f>IF($A66="","",SUMIFS('Player Game Log'!$Q$4:$Q$603,'Player Game Log'!$A$4:$A$603,A66))</f>
        <v/>
      </c>
      <c r="AB66" s="8" t="str">
        <f>IF($A66="","",COUNTIFS('Player Game Log'!$A$4:$A$603,A66))</f>
        <v/>
      </c>
      <c r="AC66" s="10" t="str">
        <f>IF($A66="","",IF(COUNTIFS('Player Game Log'!$A$4:$A$603,A66)&gt;0,"Yes","No"))</f>
        <v/>
      </c>
    </row>
    <row r="67" spans="1:29" ht="15" customHeight="1">
      <c r="A67" s="4"/>
      <c r="B67" s="15"/>
      <c r="C67" s="4"/>
      <c r="D67" s="7"/>
      <c r="E67" s="7"/>
      <c r="F67" s="7"/>
      <c r="G67" s="7"/>
      <c r="H67" s="8" t="str">
        <f t="shared" si="6"/>
        <v/>
      </c>
      <c r="I67" s="8" t="str">
        <f t="shared" si="7"/>
        <v/>
      </c>
      <c r="J67" s="8" t="str">
        <f t="shared" si="8"/>
        <v/>
      </c>
      <c r="K67" s="8" t="str">
        <f t="shared" si="9"/>
        <v/>
      </c>
      <c r="L67" s="10" t="str">
        <f t="shared" si="10"/>
        <v/>
      </c>
      <c r="M67" s="8" t="str">
        <f t="shared" si="11"/>
        <v/>
      </c>
      <c r="N67" s="8" t="str">
        <f>IF($A67="","",SUMIFS('Player Game Log'!$F$4:$F$603,'Player Game Log'!$A$4:$A$603,A67))</f>
        <v/>
      </c>
      <c r="O67" s="8" t="str">
        <f>IF($A67="","",SUMIFS('Player Game Log'!$G$4:$G$603,'Player Game Log'!$A$4:$A$603,A67))</f>
        <v/>
      </c>
      <c r="P67" s="8" t="str">
        <f>IF($A67="","",SUMIFS('Player Game Log'!$H$4:$H$603,'Player Game Log'!$A$4:$A$603,A67))</f>
        <v/>
      </c>
      <c r="Q67" s="8" t="str">
        <f>IF($A67="","",SUMIFS('Player Game Log'!$I$4:$I$603,'Player Game Log'!$A$4:$A$603,A67))</f>
        <v/>
      </c>
      <c r="R67" s="8" t="str">
        <f>IF($A67="","",SUMIFS('Player Game Log'!$R$4:$R$603,'Player Game Log'!$A$4:$A$603,A67))</f>
        <v/>
      </c>
      <c r="S67" s="8" t="str">
        <f>IF($A67="","",SUMIFS('Player Game Log'!$S$4:$S$603,'Player Game Log'!$A$4:$A$603,A67))</f>
        <v/>
      </c>
      <c r="T67" s="8" t="str">
        <f>IF($A67="","",SUMIFS('Player Game Log'!$J$4:$J$603,'Player Game Log'!$A$4:$A$603,A67))</f>
        <v/>
      </c>
      <c r="U67" s="8" t="str">
        <f>IF($A67="","",SUMIFS('Player Game Log'!$K$4:$K$603,'Player Game Log'!$A$4:$A$603,A67))</f>
        <v/>
      </c>
      <c r="V67" s="8" t="str">
        <f>IF($A67="","",SUMIFS('Player Game Log'!$L$4:$L$603,'Player Game Log'!$A$4:$A$603,A67))</f>
        <v/>
      </c>
      <c r="W67" s="8" t="str">
        <f>IF($A67="","",SUMIFS('Player Game Log'!$M$4:$M$603,'Player Game Log'!$A$4:$A$603,A67))</f>
        <v/>
      </c>
      <c r="X67" s="8" t="str">
        <f>IF($A67="","",SUMIFS('Player Game Log'!$N$4:$N$603,'Player Game Log'!$A$4:$A$603,A67))</f>
        <v/>
      </c>
      <c r="Y67" s="8" t="str">
        <f>IF($A67="","",SUMIFS('Player Game Log'!$O$4:$O$603,'Player Game Log'!$A$4:$A$603,A67))</f>
        <v/>
      </c>
      <c r="Z67" s="8" t="str">
        <f>IF($A67="","",SUMIFS('Player Game Log'!$P$4:$P$603,'Player Game Log'!$A$4:$A$603,A67))</f>
        <v/>
      </c>
      <c r="AA67" s="8" t="str">
        <f>IF($A67="","",SUMIFS('Player Game Log'!$Q$4:$Q$603,'Player Game Log'!$A$4:$A$603,A67))</f>
        <v/>
      </c>
      <c r="AB67" s="8" t="str">
        <f>IF($A67="","",COUNTIFS('Player Game Log'!$A$4:$A$603,A67))</f>
        <v/>
      </c>
      <c r="AC67" s="10" t="str">
        <f>IF($A67="","",IF(COUNTIFS('Player Game Log'!$A$4:$A$603,A67)&gt;0,"Yes","No"))</f>
        <v/>
      </c>
    </row>
    <row r="68" spans="1:29" ht="15" customHeight="1">
      <c r="A68" s="4"/>
      <c r="B68" s="15"/>
      <c r="C68" s="4"/>
      <c r="D68" s="7"/>
      <c r="E68" s="7"/>
      <c r="F68" s="7"/>
      <c r="G68" s="7"/>
      <c r="H68" s="8" t="str">
        <f t="shared" ref="H68:H103" si="12">IF($A68="","",IF(D68="","",D68))</f>
        <v/>
      </c>
      <c r="I68" s="8" t="str">
        <f t="shared" ref="I68:I103" si="13">IF($A68="","",IF(OR(D68="",E68=""),"",E68-D68))</f>
        <v/>
      </c>
      <c r="J68" s="8" t="str">
        <f t="shared" ref="J68:J103" si="14">IF($A68="","",IF(F68="","",F68))</f>
        <v/>
      </c>
      <c r="K68" s="8" t="str">
        <f t="shared" ref="K68:K103" si="15">IF($A68="","",IF(OR(F68="",G68=""),"",G68-F68))</f>
        <v/>
      </c>
      <c r="L68" s="10" t="str">
        <f t="shared" ref="L68:L103" si="16">IF($A68="","",IF(OR(E68="",G68=""),"",IF(E68&gt;G68,"W",IF(E68&lt;G68,"L","T"))))</f>
        <v/>
      </c>
      <c r="M68" s="8" t="str">
        <f t="shared" ref="M68:M103" si="17">IF($A68="","",IF(OR(E68="",G68=""),"",E68-G68))</f>
        <v/>
      </c>
      <c r="N68" s="8" t="str">
        <f>IF($A68="","",SUMIFS('Player Game Log'!$F$4:$F$603,'Player Game Log'!$A$4:$A$603,A68))</f>
        <v/>
      </c>
      <c r="O68" s="8" t="str">
        <f>IF($A68="","",SUMIFS('Player Game Log'!$G$4:$G$603,'Player Game Log'!$A$4:$A$603,A68))</f>
        <v/>
      </c>
      <c r="P68" s="8" t="str">
        <f>IF($A68="","",SUMIFS('Player Game Log'!$H$4:$H$603,'Player Game Log'!$A$4:$A$603,A68))</f>
        <v/>
      </c>
      <c r="Q68" s="8" t="str">
        <f>IF($A68="","",SUMIFS('Player Game Log'!$I$4:$I$603,'Player Game Log'!$A$4:$A$603,A68))</f>
        <v/>
      </c>
      <c r="R68" s="8" t="str">
        <f>IF($A68="","",SUMIFS('Player Game Log'!$R$4:$R$603,'Player Game Log'!$A$4:$A$603,A68))</f>
        <v/>
      </c>
      <c r="S68" s="8" t="str">
        <f>IF($A68="","",SUMIFS('Player Game Log'!$S$4:$S$603,'Player Game Log'!$A$4:$A$603,A68))</f>
        <v/>
      </c>
      <c r="T68" s="8" t="str">
        <f>IF($A68="","",SUMIFS('Player Game Log'!$J$4:$J$603,'Player Game Log'!$A$4:$A$603,A68))</f>
        <v/>
      </c>
      <c r="U68" s="8" t="str">
        <f>IF($A68="","",SUMIFS('Player Game Log'!$K$4:$K$603,'Player Game Log'!$A$4:$A$603,A68))</f>
        <v/>
      </c>
      <c r="V68" s="8" t="str">
        <f>IF($A68="","",SUMIFS('Player Game Log'!$L$4:$L$603,'Player Game Log'!$A$4:$A$603,A68))</f>
        <v/>
      </c>
      <c r="W68" s="8" t="str">
        <f>IF($A68="","",SUMIFS('Player Game Log'!$M$4:$M$603,'Player Game Log'!$A$4:$A$603,A68))</f>
        <v/>
      </c>
      <c r="X68" s="8" t="str">
        <f>IF($A68="","",SUMIFS('Player Game Log'!$N$4:$N$603,'Player Game Log'!$A$4:$A$603,A68))</f>
        <v/>
      </c>
      <c r="Y68" s="8" t="str">
        <f>IF($A68="","",SUMIFS('Player Game Log'!$O$4:$O$603,'Player Game Log'!$A$4:$A$603,A68))</f>
        <v/>
      </c>
      <c r="Z68" s="8" t="str">
        <f>IF($A68="","",SUMIFS('Player Game Log'!$P$4:$P$603,'Player Game Log'!$A$4:$A$603,A68))</f>
        <v/>
      </c>
      <c r="AA68" s="8" t="str">
        <f>IF($A68="","",SUMIFS('Player Game Log'!$Q$4:$Q$603,'Player Game Log'!$A$4:$A$603,A68))</f>
        <v/>
      </c>
      <c r="AB68" s="8" t="str">
        <f>IF($A68="","",COUNTIFS('Player Game Log'!$A$4:$A$603,A68))</f>
        <v/>
      </c>
      <c r="AC68" s="10" t="str">
        <f>IF($A68="","",IF(COUNTIFS('Player Game Log'!$A$4:$A$603,A68)&gt;0,"Yes","No"))</f>
        <v/>
      </c>
    </row>
    <row r="69" spans="1:29" ht="15" customHeight="1">
      <c r="A69" s="4"/>
      <c r="B69" s="15"/>
      <c r="C69" s="4"/>
      <c r="D69" s="7"/>
      <c r="E69" s="7"/>
      <c r="F69" s="7"/>
      <c r="G69" s="7"/>
      <c r="H69" s="8" t="str">
        <f t="shared" si="12"/>
        <v/>
      </c>
      <c r="I69" s="8" t="str">
        <f t="shared" si="13"/>
        <v/>
      </c>
      <c r="J69" s="8" t="str">
        <f t="shared" si="14"/>
        <v/>
      </c>
      <c r="K69" s="8" t="str">
        <f t="shared" si="15"/>
        <v/>
      </c>
      <c r="L69" s="10" t="str">
        <f t="shared" si="16"/>
        <v/>
      </c>
      <c r="M69" s="8" t="str">
        <f t="shared" si="17"/>
        <v/>
      </c>
      <c r="N69" s="8" t="str">
        <f>IF($A69="","",SUMIFS('Player Game Log'!$F$4:$F$603,'Player Game Log'!$A$4:$A$603,A69))</f>
        <v/>
      </c>
      <c r="O69" s="8" t="str">
        <f>IF($A69="","",SUMIFS('Player Game Log'!$G$4:$G$603,'Player Game Log'!$A$4:$A$603,A69))</f>
        <v/>
      </c>
      <c r="P69" s="8" t="str">
        <f>IF($A69="","",SUMIFS('Player Game Log'!$H$4:$H$603,'Player Game Log'!$A$4:$A$603,A69))</f>
        <v/>
      </c>
      <c r="Q69" s="8" t="str">
        <f>IF($A69="","",SUMIFS('Player Game Log'!$I$4:$I$603,'Player Game Log'!$A$4:$A$603,A69))</f>
        <v/>
      </c>
      <c r="R69" s="8" t="str">
        <f>IF($A69="","",SUMIFS('Player Game Log'!$R$4:$R$603,'Player Game Log'!$A$4:$A$603,A69))</f>
        <v/>
      </c>
      <c r="S69" s="8" t="str">
        <f>IF($A69="","",SUMIFS('Player Game Log'!$S$4:$S$603,'Player Game Log'!$A$4:$A$603,A69))</f>
        <v/>
      </c>
      <c r="T69" s="8" t="str">
        <f>IF($A69="","",SUMIFS('Player Game Log'!$J$4:$J$603,'Player Game Log'!$A$4:$A$603,A69))</f>
        <v/>
      </c>
      <c r="U69" s="8" t="str">
        <f>IF($A69="","",SUMIFS('Player Game Log'!$K$4:$K$603,'Player Game Log'!$A$4:$A$603,A69))</f>
        <v/>
      </c>
      <c r="V69" s="8" t="str">
        <f>IF($A69="","",SUMIFS('Player Game Log'!$L$4:$L$603,'Player Game Log'!$A$4:$A$603,A69))</f>
        <v/>
      </c>
      <c r="W69" s="8" t="str">
        <f>IF($A69="","",SUMIFS('Player Game Log'!$M$4:$M$603,'Player Game Log'!$A$4:$A$603,A69))</f>
        <v/>
      </c>
      <c r="X69" s="8" t="str">
        <f>IF($A69="","",SUMIFS('Player Game Log'!$N$4:$N$603,'Player Game Log'!$A$4:$A$603,A69))</f>
        <v/>
      </c>
      <c r="Y69" s="8" t="str">
        <f>IF($A69="","",SUMIFS('Player Game Log'!$O$4:$O$603,'Player Game Log'!$A$4:$A$603,A69))</f>
        <v/>
      </c>
      <c r="Z69" s="8" t="str">
        <f>IF($A69="","",SUMIFS('Player Game Log'!$P$4:$P$603,'Player Game Log'!$A$4:$A$603,A69))</f>
        <v/>
      </c>
      <c r="AA69" s="8" t="str">
        <f>IF($A69="","",SUMIFS('Player Game Log'!$Q$4:$Q$603,'Player Game Log'!$A$4:$A$603,A69))</f>
        <v/>
      </c>
      <c r="AB69" s="8" t="str">
        <f>IF($A69="","",COUNTIFS('Player Game Log'!$A$4:$A$603,A69))</f>
        <v/>
      </c>
      <c r="AC69" s="10" t="str">
        <f>IF($A69="","",IF(COUNTIFS('Player Game Log'!$A$4:$A$603,A69)&gt;0,"Yes","No"))</f>
        <v/>
      </c>
    </row>
    <row r="70" spans="1:29" ht="15" customHeight="1">
      <c r="A70" s="4"/>
      <c r="B70" s="15"/>
      <c r="C70" s="4"/>
      <c r="D70" s="7"/>
      <c r="E70" s="7"/>
      <c r="F70" s="7"/>
      <c r="G70" s="7"/>
      <c r="H70" s="8" t="str">
        <f t="shared" si="12"/>
        <v/>
      </c>
      <c r="I70" s="8" t="str">
        <f t="shared" si="13"/>
        <v/>
      </c>
      <c r="J70" s="8" t="str">
        <f t="shared" si="14"/>
        <v/>
      </c>
      <c r="K70" s="8" t="str">
        <f t="shared" si="15"/>
        <v/>
      </c>
      <c r="L70" s="10" t="str">
        <f t="shared" si="16"/>
        <v/>
      </c>
      <c r="M70" s="8" t="str">
        <f t="shared" si="17"/>
        <v/>
      </c>
      <c r="N70" s="8" t="str">
        <f>IF($A70="","",SUMIFS('Player Game Log'!$F$4:$F$603,'Player Game Log'!$A$4:$A$603,A70))</f>
        <v/>
      </c>
      <c r="O70" s="8" t="str">
        <f>IF($A70="","",SUMIFS('Player Game Log'!$G$4:$G$603,'Player Game Log'!$A$4:$A$603,A70))</f>
        <v/>
      </c>
      <c r="P70" s="8" t="str">
        <f>IF($A70="","",SUMIFS('Player Game Log'!$H$4:$H$603,'Player Game Log'!$A$4:$A$603,A70))</f>
        <v/>
      </c>
      <c r="Q70" s="8" t="str">
        <f>IF($A70="","",SUMIFS('Player Game Log'!$I$4:$I$603,'Player Game Log'!$A$4:$A$603,A70))</f>
        <v/>
      </c>
      <c r="R70" s="8" t="str">
        <f>IF($A70="","",SUMIFS('Player Game Log'!$R$4:$R$603,'Player Game Log'!$A$4:$A$603,A70))</f>
        <v/>
      </c>
      <c r="S70" s="8" t="str">
        <f>IF($A70="","",SUMIFS('Player Game Log'!$S$4:$S$603,'Player Game Log'!$A$4:$A$603,A70))</f>
        <v/>
      </c>
      <c r="T70" s="8" t="str">
        <f>IF($A70="","",SUMIFS('Player Game Log'!$J$4:$J$603,'Player Game Log'!$A$4:$A$603,A70))</f>
        <v/>
      </c>
      <c r="U70" s="8" t="str">
        <f>IF($A70="","",SUMIFS('Player Game Log'!$K$4:$K$603,'Player Game Log'!$A$4:$A$603,A70))</f>
        <v/>
      </c>
      <c r="V70" s="8" t="str">
        <f>IF($A70="","",SUMIFS('Player Game Log'!$L$4:$L$603,'Player Game Log'!$A$4:$A$603,A70))</f>
        <v/>
      </c>
      <c r="W70" s="8" t="str">
        <f>IF($A70="","",SUMIFS('Player Game Log'!$M$4:$M$603,'Player Game Log'!$A$4:$A$603,A70))</f>
        <v/>
      </c>
      <c r="X70" s="8" t="str">
        <f>IF($A70="","",SUMIFS('Player Game Log'!$N$4:$N$603,'Player Game Log'!$A$4:$A$603,A70))</f>
        <v/>
      </c>
      <c r="Y70" s="8" t="str">
        <f>IF($A70="","",SUMIFS('Player Game Log'!$O$4:$O$603,'Player Game Log'!$A$4:$A$603,A70))</f>
        <v/>
      </c>
      <c r="Z70" s="8" t="str">
        <f>IF($A70="","",SUMIFS('Player Game Log'!$P$4:$P$603,'Player Game Log'!$A$4:$A$603,A70))</f>
        <v/>
      </c>
      <c r="AA70" s="8" t="str">
        <f>IF($A70="","",SUMIFS('Player Game Log'!$Q$4:$Q$603,'Player Game Log'!$A$4:$A$603,A70))</f>
        <v/>
      </c>
      <c r="AB70" s="8" t="str">
        <f>IF($A70="","",COUNTIFS('Player Game Log'!$A$4:$A$603,A70))</f>
        <v/>
      </c>
      <c r="AC70" s="10" t="str">
        <f>IF($A70="","",IF(COUNTIFS('Player Game Log'!$A$4:$A$603,A70)&gt;0,"Yes","No"))</f>
        <v/>
      </c>
    </row>
    <row r="71" spans="1:29" ht="15" customHeight="1">
      <c r="A71" s="4"/>
      <c r="B71" s="15"/>
      <c r="C71" s="4"/>
      <c r="D71" s="7"/>
      <c r="E71" s="7"/>
      <c r="F71" s="7"/>
      <c r="G71" s="7"/>
      <c r="H71" s="8" t="str">
        <f t="shared" si="12"/>
        <v/>
      </c>
      <c r="I71" s="8" t="str">
        <f t="shared" si="13"/>
        <v/>
      </c>
      <c r="J71" s="8" t="str">
        <f t="shared" si="14"/>
        <v/>
      </c>
      <c r="K71" s="8" t="str">
        <f t="shared" si="15"/>
        <v/>
      </c>
      <c r="L71" s="10" t="str">
        <f t="shared" si="16"/>
        <v/>
      </c>
      <c r="M71" s="8" t="str">
        <f t="shared" si="17"/>
        <v/>
      </c>
      <c r="N71" s="8" t="str">
        <f>IF($A71="","",SUMIFS('Player Game Log'!$F$4:$F$603,'Player Game Log'!$A$4:$A$603,A71))</f>
        <v/>
      </c>
      <c r="O71" s="8" t="str">
        <f>IF($A71="","",SUMIFS('Player Game Log'!$G$4:$G$603,'Player Game Log'!$A$4:$A$603,A71))</f>
        <v/>
      </c>
      <c r="P71" s="8" t="str">
        <f>IF($A71="","",SUMIFS('Player Game Log'!$H$4:$H$603,'Player Game Log'!$A$4:$A$603,A71))</f>
        <v/>
      </c>
      <c r="Q71" s="8" t="str">
        <f>IF($A71="","",SUMIFS('Player Game Log'!$I$4:$I$603,'Player Game Log'!$A$4:$A$603,A71))</f>
        <v/>
      </c>
      <c r="R71" s="8" t="str">
        <f>IF($A71="","",SUMIFS('Player Game Log'!$R$4:$R$603,'Player Game Log'!$A$4:$A$603,A71))</f>
        <v/>
      </c>
      <c r="S71" s="8" t="str">
        <f>IF($A71="","",SUMIFS('Player Game Log'!$S$4:$S$603,'Player Game Log'!$A$4:$A$603,A71))</f>
        <v/>
      </c>
      <c r="T71" s="8" t="str">
        <f>IF($A71="","",SUMIFS('Player Game Log'!$J$4:$J$603,'Player Game Log'!$A$4:$A$603,A71))</f>
        <v/>
      </c>
      <c r="U71" s="8" t="str">
        <f>IF($A71="","",SUMIFS('Player Game Log'!$K$4:$K$603,'Player Game Log'!$A$4:$A$603,A71))</f>
        <v/>
      </c>
      <c r="V71" s="8" t="str">
        <f>IF($A71="","",SUMIFS('Player Game Log'!$L$4:$L$603,'Player Game Log'!$A$4:$A$603,A71))</f>
        <v/>
      </c>
      <c r="W71" s="8" t="str">
        <f>IF($A71="","",SUMIFS('Player Game Log'!$M$4:$M$603,'Player Game Log'!$A$4:$A$603,A71))</f>
        <v/>
      </c>
      <c r="X71" s="8" t="str">
        <f>IF($A71="","",SUMIFS('Player Game Log'!$N$4:$N$603,'Player Game Log'!$A$4:$A$603,A71))</f>
        <v/>
      </c>
      <c r="Y71" s="8" t="str">
        <f>IF($A71="","",SUMIFS('Player Game Log'!$O$4:$O$603,'Player Game Log'!$A$4:$A$603,A71))</f>
        <v/>
      </c>
      <c r="Z71" s="8" t="str">
        <f>IF($A71="","",SUMIFS('Player Game Log'!$P$4:$P$603,'Player Game Log'!$A$4:$A$603,A71))</f>
        <v/>
      </c>
      <c r="AA71" s="8" t="str">
        <f>IF($A71="","",SUMIFS('Player Game Log'!$Q$4:$Q$603,'Player Game Log'!$A$4:$A$603,A71))</f>
        <v/>
      </c>
      <c r="AB71" s="8" t="str">
        <f>IF($A71="","",COUNTIFS('Player Game Log'!$A$4:$A$603,A71))</f>
        <v/>
      </c>
      <c r="AC71" s="10" t="str">
        <f>IF($A71="","",IF(COUNTIFS('Player Game Log'!$A$4:$A$603,A71)&gt;0,"Yes","No"))</f>
        <v/>
      </c>
    </row>
    <row r="72" spans="1:29" ht="15" customHeight="1">
      <c r="A72" s="4"/>
      <c r="B72" s="15"/>
      <c r="C72" s="4"/>
      <c r="D72" s="7"/>
      <c r="E72" s="7"/>
      <c r="F72" s="7"/>
      <c r="G72" s="7"/>
      <c r="H72" s="8" t="str">
        <f t="shared" si="12"/>
        <v/>
      </c>
      <c r="I72" s="8" t="str">
        <f t="shared" si="13"/>
        <v/>
      </c>
      <c r="J72" s="8" t="str">
        <f t="shared" si="14"/>
        <v/>
      </c>
      <c r="K72" s="8" t="str">
        <f t="shared" si="15"/>
        <v/>
      </c>
      <c r="L72" s="10" t="str">
        <f t="shared" si="16"/>
        <v/>
      </c>
      <c r="M72" s="8" t="str">
        <f t="shared" si="17"/>
        <v/>
      </c>
      <c r="N72" s="8" t="str">
        <f>IF($A72="","",SUMIFS('Player Game Log'!$F$4:$F$603,'Player Game Log'!$A$4:$A$603,A72))</f>
        <v/>
      </c>
      <c r="O72" s="8" t="str">
        <f>IF($A72="","",SUMIFS('Player Game Log'!$G$4:$G$603,'Player Game Log'!$A$4:$A$603,A72))</f>
        <v/>
      </c>
      <c r="P72" s="8" t="str">
        <f>IF($A72="","",SUMIFS('Player Game Log'!$H$4:$H$603,'Player Game Log'!$A$4:$A$603,A72))</f>
        <v/>
      </c>
      <c r="Q72" s="8" t="str">
        <f>IF($A72="","",SUMIFS('Player Game Log'!$I$4:$I$603,'Player Game Log'!$A$4:$A$603,A72))</f>
        <v/>
      </c>
      <c r="R72" s="8" t="str">
        <f>IF($A72="","",SUMIFS('Player Game Log'!$R$4:$R$603,'Player Game Log'!$A$4:$A$603,A72))</f>
        <v/>
      </c>
      <c r="S72" s="8" t="str">
        <f>IF($A72="","",SUMIFS('Player Game Log'!$S$4:$S$603,'Player Game Log'!$A$4:$A$603,A72))</f>
        <v/>
      </c>
      <c r="T72" s="8" t="str">
        <f>IF($A72="","",SUMIFS('Player Game Log'!$J$4:$J$603,'Player Game Log'!$A$4:$A$603,A72))</f>
        <v/>
      </c>
      <c r="U72" s="8" t="str">
        <f>IF($A72="","",SUMIFS('Player Game Log'!$K$4:$K$603,'Player Game Log'!$A$4:$A$603,A72))</f>
        <v/>
      </c>
      <c r="V72" s="8" t="str">
        <f>IF($A72="","",SUMIFS('Player Game Log'!$L$4:$L$603,'Player Game Log'!$A$4:$A$603,A72))</f>
        <v/>
      </c>
      <c r="W72" s="8" t="str">
        <f>IF($A72="","",SUMIFS('Player Game Log'!$M$4:$M$603,'Player Game Log'!$A$4:$A$603,A72))</f>
        <v/>
      </c>
      <c r="X72" s="8" t="str">
        <f>IF($A72="","",SUMIFS('Player Game Log'!$N$4:$N$603,'Player Game Log'!$A$4:$A$603,A72))</f>
        <v/>
      </c>
      <c r="Y72" s="8" t="str">
        <f>IF($A72="","",SUMIFS('Player Game Log'!$O$4:$O$603,'Player Game Log'!$A$4:$A$603,A72))</f>
        <v/>
      </c>
      <c r="Z72" s="8" t="str">
        <f>IF($A72="","",SUMIFS('Player Game Log'!$P$4:$P$603,'Player Game Log'!$A$4:$A$603,A72))</f>
        <v/>
      </c>
      <c r="AA72" s="8" t="str">
        <f>IF($A72="","",SUMIFS('Player Game Log'!$Q$4:$Q$603,'Player Game Log'!$A$4:$A$603,A72))</f>
        <v/>
      </c>
      <c r="AB72" s="8" t="str">
        <f>IF($A72="","",COUNTIFS('Player Game Log'!$A$4:$A$603,A72))</f>
        <v/>
      </c>
      <c r="AC72" s="10" t="str">
        <f>IF($A72="","",IF(COUNTIFS('Player Game Log'!$A$4:$A$603,A72)&gt;0,"Yes","No"))</f>
        <v/>
      </c>
    </row>
    <row r="73" spans="1:29" ht="15" customHeight="1">
      <c r="A73" s="4"/>
      <c r="B73" s="15"/>
      <c r="C73" s="4"/>
      <c r="D73" s="7"/>
      <c r="E73" s="7"/>
      <c r="F73" s="7"/>
      <c r="G73" s="7"/>
      <c r="H73" s="8" t="str">
        <f t="shared" si="12"/>
        <v/>
      </c>
      <c r="I73" s="8" t="str">
        <f t="shared" si="13"/>
        <v/>
      </c>
      <c r="J73" s="8" t="str">
        <f t="shared" si="14"/>
        <v/>
      </c>
      <c r="K73" s="8" t="str">
        <f t="shared" si="15"/>
        <v/>
      </c>
      <c r="L73" s="10" t="str">
        <f t="shared" si="16"/>
        <v/>
      </c>
      <c r="M73" s="8" t="str">
        <f t="shared" si="17"/>
        <v/>
      </c>
      <c r="N73" s="8" t="str">
        <f>IF($A73="","",SUMIFS('Player Game Log'!$F$4:$F$603,'Player Game Log'!$A$4:$A$603,A73))</f>
        <v/>
      </c>
      <c r="O73" s="8" t="str">
        <f>IF($A73="","",SUMIFS('Player Game Log'!$G$4:$G$603,'Player Game Log'!$A$4:$A$603,A73))</f>
        <v/>
      </c>
      <c r="P73" s="8" t="str">
        <f>IF($A73="","",SUMIFS('Player Game Log'!$H$4:$H$603,'Player Game Log'!$A$4:$A$603,A73))</f>
        <v/>
      </c>
      <c r="Q73" s="8" t="str">
        <f>IF($A73="","",SUMIFS('Player Game Log'!$I$4:$I$603,'Player Game Log'!$A$4:$A$603,A73))</f>
        <v/>
      </c>
      <c r="R73" s="8" t="str">
        <f>IF($A73="","",SUMIFS('Player Game Log'!$R$4:$R$603,'Player Game Log'!$A$4:$A$603,A73))</f>
        <v/>
      </c>
      <c r="S73" s="8" t="str">
        <f>IF($A73="","",SUMIFS('Player Game Log'!$S$4:$S$603,'Player Game Log'!$A$4:$A$603,A73))</f>
        <v/>
      </c>
      <c r="T73" s="8" t="str">
        <f>IF($A73="","",SUMIFS('Player Game Log'!$J$4:$J$603,'Player Game Log'!$A$4:$A$603,A73))</f>
        <v/>
      </c>
      <c r="U73" s="8" t="str">
        <f>IF($A73="","",SUMIFS('Player Game Log'!$K$4:$K$603,'Player Game Log'!$A$4:$A$603,A73))</f>
        <v/>
      </c>
      <c r="V73" s="8" t="str">
        <f>IF($A73="","",SUMIFS('Player Game Log'!$L$4:$L$603,'Player Game Log'!$A$4:$A$603,A73))</f>
        <v/>
      </c>
      <c r="W73" s="8" t="str">
        <f>IF($A73="","",SUMIFS('Player Game Log'!$M$4:$M$603,'Player Game Log'!$A$4:$A$603,A73))</f>
        <v/>
      </c>
      <c r="X73" s="8" t="str">
        <f>IF($A73="","",SUMIFS('Player Game Log'!$N$4:$N$603,'Player Game Log'!$A$4:$A$603,A73))</f>
        <v/>
      </c>
      <c r="Y73" s="8" t="str">
        <f>IF($A73="","",SUMIFS('Player Game Log'!$O$4:$O$603,'Player Game Log'!$A$4:$A$603,A73))</f>
        <v/>
      </c>
      <c r="Z73" s="8" t="str">
        <f>IF($A73="","",SUMIFS('Player Game Log'!$P$4:$P$603,'Player Game Log'!$A$4:$A$603,A73))</f>
        <v/>
      </c>
      <c r="AA73" s="8" t="str">
        <f>IF($A73="","",SUMIFS('Player Game Log'!$Q$4:$Q$603,'Player Game Log'!$A$4:$A$603,A73))</f>
        <v/>
      </c>
      <c r="AB73" s="8" t="str">
        <f>IF($A73="","",COUNTIFS('Player Game Log'!$A$4:$A$603,A73))</f>
        <v/>
      </c>
      <c r="AC73" s="10" t="str">
        <f>IF($A73="","",IF(COUNTIFS('Player Game Log'!$A$4:$A$603,A73)&gt;0,"Yes","No"))</f>
        <v/>
      </c>
    </row>
    <row r="74" spans="1:29" ht="15" customHeight="1">
      <c r="A74" s="4"/>
      <c r="B74" s="15"/>
      <c r="C74" s="4"/>
      <c r="D74" s="7"/>
      <c r="E74" s="7"/>
      <c r="F74" s="7"/>
      <c r="G74" s="7"/>
      <c r="H74" s="8" t="str">
        <f t="shared" si="12"/>
        <v/>
      </c>
      <c r="I74" s="8" t="str">
        <f t="shared" si="13"/>
        <v/>
      </c>
      <c r="J74" s="8" t="str">
        <f t="shared" si="14"/>
        <v/>
      </c>
      <c r="K74" s="8" t="str">
        <f t="shared" si="15"/>
        <v/>
      </c>
      <c r="L74" s="10" t="str">
        <f t="shared" si="16"/>
        <v/>
      </c>
      <c r="M74" s="8" t="str">
        <f t="shared" si="17"/>
        <v/>
      </c>
      <c r="N74" s="8" t="str">
        <f>IF($A74="","",SUMIFS('Player Game Log'!$F$4:$F$603,'Player Game Log'!$A$4:$A$603,A74))</f>
        <v/>
      </c>
      <c r="O74" s="8" t="str">
        <f>IF($A74="","",SUMIFS('Player Game Log'!$G$4:$G$603,'Player Game Log'!$A$4:$A$603,A74))</f>
        <v/>
      </c>
      <c r="P74" s="8" t="str">
        <f>IF($A74="","",SUMIFS('Player Game Log'!$H$4:$H$603,'Player Game Log'!$A$4:$A$603,A74))</f>
        <v/>
      </c>
      <c r="Q74" s="8" t="str">
        <f>IF($A74="","",SUMIFS('Player Game Log'!$I$4:$I$603,'Player Game Log'!$A$4:$A$603,A74))</f>
        <v/>
      </c>
      <c r="R74" s="8" t="str">
        <f>IF($A74="","",SUMIFS('Player Game Log'!$R$4:$R$603,'Player Game Log'!$A$4:$A$603,A74))</f>
        <v/>
      </c>
      <c r="S74" s="8" t="str">
        <f>IF($A74="","",SUMIFS('Player Game Log'!$S$4:$S$603,'Player Game Log'!$A$4:$A$603,A74))</f>
        <v/>
      </c>
      <c r="T74" s="8" t="str">
        <f>IF($A74="","",SUMIFS('Player Game Log'!$J$4:$J$603,'Player Game Log'!$A$4:$A$603,A74))</f>
        <v/>
      </c>
      <c r="U74" s="8" t="str">
        <f>IF($A74="","",SUMIFS('Player Game Log'!$K$4:$K$603,'Player Game Log'!$A$4:$A$603,A74))</f>
        <v/>
      </c>
      <c r="V74" s="8" t="str">
        <f>IF($A74="","",SUMIFS('Player Game Log'!$L$4:$L$603,'Player Game Log'!$A$4:$A$603,A74))</f>
        <v/>
      </c>
      <c r="W74" s="8" t="str">
        <f>IF($A74="","",SUMIFS('Player Game Log'!$M$4:$M$603,'Player Game Log'!$A$4:$A$603,A74))</f>
        <v/>
      </c>
      <c r="X74" s="8" t="str">
        <f>IF($A74="","",SUMIFS('Player Game Log'!$N$4:$N$603,'Player Game Log'!$A$4:$A$603,A74))</f>
        <v/>
      </c>
      <c r="Y74" s="8" t="str">
        <f>IF($A74="","",SUMIFS('Player Game Log'!$O$4:$O$603,'Player Game Log'!$A$4:$A$603,A74))</f>
        <v/>
      </c>
      <c r="Z74" s="8" t="str">
        <f>IF($A74="","",SUMIFS('Player Game Log'!$P$4:$P$603,'Player Game Log'!$A$4:$A$603,A74))</f>
        <v/>
      </c>
      <c r="AA74" s="8" t="str">
        <f>IF($A74="","",SUMIFS('Player Game Log'!$Q$4:$Q$603,'Player Game Log'!$A$4:$A$603,A74))</f>
        <v/>
      </c>
      <c r="AB74" s="8" t="str">
        <f>IF($A74="","",COUNTIFS('Player Game Log'!$A$4:$A$603,A74))</f>
        <v/>
      </c>
      <c r="AC74" s="10" t="str">
        <f>IF($A74="","",IF(COUNTIFS('Player Game Log'!$A$4:$A$603,A74)&gt;0,"Yes","No"))</f>
        <v/>
      </c>
    </row>
    <row r="75" spans="1:29" ht="15" customHeight="1">
      <c r="A75" s="4"/>
      <c r="B75" s="15"/>
      <c r="C75" s="4"/>
      <c r="D75" s="7"/>
      <c r="E75" s="7"/>
      <c r="F75" s="7"/>
      <c r="G75" s="7"/>
      <c r="H75" s="8" t="str">
        <f t="shared" si="12"/>
        <v/>
      </c>
      <c r="I75" s="8" t="str">
        <f t="shared" si="13"/>
        <v/>
      </c>
      <c r="J75" s="8" t="str">
        <f t="shared" si="14"/>
        <v/>
      </c>
      <c r="K75" s="8" t="str">
        <f t="shared" si="15"/>
        <v/>
      </c>
      <c r="L75" s="10" t="str">
        <f t="shared" si="16"/>
        <v/>
      </c>
      <c r="M75" s="8" t="str">
        <f t="shared" si="17"/>
        <v/>
      </c>
      <c r="N75" s="8" t="str">
        <f>IF($A75="","",SUMIFS('Player Game Log'!$F$4:$F$603,'Player Game Log'!$A$4:$A$603,A75))</f>
        <v/>
      </c>
      <c r="O75" s="8" t="str">
        <f>IF($A75="","",SUMIFS('Player Game Log'!$G$4:$G$603,'Player Game Log'!$A$4:$A$603,A75))</f>
        <v/>
      </c>
      <c r="P75" s="8" t="str">
        <f>IF($A75="","",SUMIFS('Player Game Log'!$H$4:$H$603,'Player Game Log'!$A$4:$A$603,A75))</f>
        <v/>
      </c>
      <c r="Q75" s="8" t="str">
        <f>IF($A75="","",SUMIFS('Player Game Log'!$I$4:$I$603,'Player Game Log'!$A$4:$A$603,A75))</f>
        <v/>
      </c>
      <c r="R75" s="8" t="str">
        <f>IF($A75="","",SUMIFS('Player Game Log'!$R$4:$R$603,'Player Game Log'!$A$4:$A$603,A75))</f>
        <v/>
      </c>
      <c r="S75" s="8" t="str">
        <f>IF($A75="","",SUMIFS('Player Game Log'!$S$4:$S$603,'Player Game Log'!$A$4:$A$603,A75))</f>
        <v/>
      </c>
      <c r="T75" s="8" t="str">
        <f>IF($A75="","",SUMIFS('Player Game Log'!$J$4:$J$603,'Player Game Log'!$A$4:$A$603,A75))</f>
        <v/>
      </c>
      <c r="U75" s="8" t="str">
        <f>IF($A75="","",SUMIFS('Player Game Log'!$K$4:$K$603,'Player Game Log'!$A$4:$A$603,A75))</f>
        <v/>
      </c>
      <c r="V75" s="8" t="str">
        <f>IF($A75="","",SUMIFS('Player Game Log'!$L$4:$L$603,'Player Game Log'!$A$4:$A$603,A75))</f>
        <v/>
      </c>
      <c r="W75" s="8" t="str">
        <f>IF($A75="","",SUMIFS('Player Game Log'!$M$4:$M$603,'Player Game Log'!$A$4:$A$603,A75))</f>
        <v/>
      </c>
      <c r="X75" s="8" t="str">
        <f>IF($A75="","",SUMIFS('Player Game Log'!$N$4:$N$603,'Player Game Log'!$A$4:$A$603,A75))</f>
        <v/>
      </c>
      <c r="Y75" s="8" t="str">
        <f>IF($A75="","",SUMIFS('Player Game Log'!$O$4:$O$603,'Player Game Log'!$A$4:$A$603,A75))</f>
        <v/>
      </c>
      <c r="Z75" s="8" t="str">
        <f>IF($A75="","",SUMIFS('Player Game Log'!$P$4:$P$603,'Player Game Log'!$A$4:$A$603,A75))</f>
        <v/>
      </c>
      <c r="AA75" s="8" t="str">
        <f>IF($A75="","",SUMIFS('Player Game Log'!$Q$4:$Q$603,'Player Game Log'!$A$4:$A$603,A75))</f>
        <v/>
      </c>
      <c r="AB75" s="8" t="str">
        <f>IF($A75="","",COUNTIFS('Player Game Log'!$A$4:$A$603,A75))</f>
        <v/>
      </c>
      <c r="AC75" s="10" t="str">
        <f>IF($A75="","",IF(COUNTIFS('Player Game Log'!$A$4:$A$603,A75)&gt;0,"Yes","No"))</f>
        <v/>
      </c>
    </row>
    <row r="76" spans="1:29" ht="15" customHeight="1">
      <c r="A76" s="4"/>
      <c r="B76" s="15"/>
      <c r="C76" s="4"/>
      <c r="D76" s="7"/>
      <c r="E76" s="7"/>
      <c r="F76" s="7"/>
      <c r="G76" s="7"/>
      <c r="H76" s="8" t="str">
        <f t="shared" si="12"/>
        <v/>
      </c>
      <c r="I76" s="8" t="str">
        <f t="shared" si="13"/>
        <v/>
      </c>
      <c r="J76" s="8" t="str">
        <f t="shared" si="14"/>
        <v/>
      </c>
      <c r="K76" s="8" t="str">
        <f t="shared" si="15"/>
        <v/>
      </c>
      <c r="L76" s="10" t="str">
        <f t="shared" si="16"/>
        <v/>
      </c>
      <c r="M76" s="8" t="str">
        <f t="shared" si="17"/>
        <v/>
      </c>
      <c r="N76" s="8" t="str">
        <f>IF($A76="","",SUMIFS('Player Game Log'!$F$4:$F$603,'Player Game Log'!$A$4:$A$603,A76))</f>
        <v/>
      </c>
      <c r="O76" s="8" t="str">
        <f>IF($A76="","",SUMIFS('Player Game Log'!$G$4:$G$603,'Player Game Log'!$A$4:$A$603,A76))</f>
        <v/>
      </c>
      <c r="P76" s="8" t="str">
        <f>IF($A76="","",SUMIFS('Player Game Log'!$H$4:$H$603,'Player Game Log'!$A$4:$A$603,A76))</f>
        <v/>
      </c>
      <c r="Q76" s="8" t="str">
        <f>IF($A76="","",SUMIFS('Player Game Log'!$I$4:$I$603,'Player Game Log'!$A$4:$A$603,A76))</f>
        <v/>
      </c>
      <c r="R76" s="8" t="str">
        <f>IF($A76="","",SUMIFS('Player Game Log'!$R$4:$R$603,'Player Game Log'!$A$4:$A$603,A76))</f>
        <v/>
      </c>
      <c r="S76" s="8" t="str">
        <f>IF($A76="","",SUMIFS('Player Game Log'!$S$4:$S$603,'Player Game Log'!$A$4:$A$603,A76))</f>
        <v/>
      </c>
      <c r="T76" s="8" t="str">
        <f>IF($A76="","",SUMIFS('Player Game Log'!$J$4:$J$603,'Player Game Log'!$A$4:$A$603,A76))</f>
        <v/>
      </c>
      <c r="U76" s="8" t="str">
        <f>IF($A76="","",SUMIFS('Player Game Log'!$K$4:$K$603,'Player Game Log'!$A$4:$A$603,A76))</f>
        <v/>
      </c>
      <c r="V76" s="8" t="str">
        <f>IF($A76="","",SUMIFS('Player Game Log'!$L$4:$L$603,'Player Game Log'!$A$4:$A$603,A76))</f>
        <v/>
      </c>
      <c r="W76" s="8" t="str">
        <f>IF($A76="","",SUMIFS('Player Game Log'!$M$4:$M$603,'Player Game Log'!$A$4:$A$603,A76))</f>
        <v/>
      </c>
      <c r="X76" s="8" t="str">
        <f>IF($A76="","",SUMIFS('Player Game Log'!$N$4:$N$603,'Player Game Log'!$A$4:$A$603,A76))</f>
        <v/>
      </c>
      <c r="Y76" s="8" t="str">
        <f>IF($A76="","",SUMIFS('Player Game Log'!$O$4:$O$603,'Player Game Log'!$A$4:$A$603,A76))</f>
        <v/>
      </c>
      <c r="Z76" s="8" t="str">
        <f>IF($A76="","",SUMIFS('Player Game Log'!$P$4:$P$603,'Player Game Log'!$A$4:$A$603,A76))</f>
        <v/>
      </c>
      <c r="AA76" s="8" t="str">
        <f>IF($A76="","",SUMIFS('Player Game Log'!$Q$4:$Q$603,'Player Game Log'!$A$4:$A$603,A76))</f>
        <v/>
      </c>
      <c r="AB76" s="8" t="str">
        <f>IF($A76="","",COUNTIFS('Player Game Log'!$A$4:$A$603,A76))</f>
        <v/>
      </c>
      <c r="AC76" s="10" t="str">
        <f>IF($A76="","",IF(COUNTIFS('Player Game Log'!$A$4:$A$603,A76)&gt;0,"Yes","No"))</f>
        <v/>
      </c>
    </row>
    <row r="77" spans="1:29" ht="15" customHeight="1">
      <c r="A77" s="4"/>
      <c r="B77" s="15"/>
      <c r="C77" s="4"/>
      <c r="D77" s="7"/>
      <c r="E77" s="7"/>
      <c r="F77" s="7"/>
      <c r="G77" s="7"/>
      <c r="H77" s="8" t="str">
        <f t="shared" si="12"/>
        <v/>
      </c>
      <c r="I77" s="8" t="str">
        <f t="shared" si="13"/>
        <v/>
      </c>
      <c r="J77" s="8" t="str">
        <f t="shared" si="14"/>
        <v/>
      </c>
      <c r="K77" s="8" t="str">
        <f t="shared" si="15"/>
        <v/>
      </c>
      <c r="L77" s="10" t="str">
        <f t="shared" si="16"/>
        <v/>
      </c>
      <c r="M77" s="8" t="str">
        <f t="shared" si="17"/>
        <v/>
      </c>
      <c r="N77" s="8" t="str">
        <f>IF($A77="","",SUMIFS('Player Game Log'!$F$4:$F$603,'Player Game Log'!$A$4:$A$603,A77))</f>
        <v/>
      </c>
      <c r="O77" s="8" t="str">
        <f>IF($A77="","",SUMIFS('Player Game Log'!$G$4:$G$603,'Player Game Log'!$A$4:$A$603,A77))</f>
        <v/>
      </c>
      <c r="P77" s="8" t="str">
        <f>IF($A77="","",SUMIFS('Player Game Log'!$H$4:$H$603,'Player Game Log'!$A$4:$A$603,A77))</f>
        <v/>
      </c>
      <c r="Q77" s="8" t="str">
        <f>IF($A77="","",SUMIFS('Player Game Log'!$I$4:$I$603,'Player Game Log'!$A$4:$A$603,A77))</f>
        <v/>
      </c>
      <c r="R77" s="8" t="str">
        <f>IF($A77="","",SUMIFS('Player Game Log'!$R$4:$R$603,'Player Game Log'!$A$4:$A$603,A77))</f>
        <v/>
      </c>
      <c r="S77" s="8" t="str">
        <f>IF($A77="","",SUMIFS('Player Game Log'!$S$4:$S$603,'Player Game Log'!$A$4:$A$603,A77))</f>
        <v/>
      </c>
      <c r="T77" s="8" t="str">
        <f>IF($A77="","",SUMIFS('Player Game Log'!$J$4:$J$603,'Player Game Log'!$A$4:$A$603,A77))</f>
        <v/>
      </c>
      <c r="U77" s="8" t="str">
        <f>IF($A77="","",SUMIFS('Player Game Log'!$K$4:$K$603,'Player Game Log'!$A$4:$A$603,A77))</f>
        <v/>
      </c>
      <c r="V77" s="8" t="str">
        <f>IF($A77="","",SUMIFS('Player Game Log'!$L$4:$L$603,'Player Game Log'!$A$4:$A$603,A77))</f>
        <v/>
      </c>
      <c r="W77" s="8" t="str">
        <f>IF($A77="","",SUMIFS('Player Game Log'!$M$4:$M$603,'Player Game Log'!$A$4:$A$603,A77))</f>
        <v/>
      </c>
      <c r="X77" s="8" t="str">
        <f>IF($A77="","",SUMIFS('Player Game Log'!$N$4:$N$603,'Player Game Log'!$A$4:$A$603,A77))</f>
        <v/>
      </c>
      <c r="Y77" s="8" t="str">
        <f>IF($A77="","",SUMIFS('Player Game Log'!$O$4:$O$603,'Player Game Log'!$A$4:$A$603,A77))</f>
        <v/>
      </c>
      <c r="Z77" s="8" t="str">
        <f>IF($A77="","",SUMIFS('Player Game Log'!$P$4:$P$603,'Player Game Log'!$A$4:$A$603,A77))</f>
        <v/>
      </c>
      <c r="AA77" s="8" t="str">
        <f>IF($A77="","",SUMIFS('Player Game Log'!$Q$4:$Q$603,'Player Game Log'!$A$4:$A$603,A77))</f>
        <v/>
      </c>
      <c r="AB77" s="8" t="str">
        <f>IF($A77="","",COUNTIFS('Player Game Log'!$A$4:$A$603,A77))</f>
        <v/>
      </c>
      <c r="AC77" s="10" t="str">
        <f>IF($A77="","",IF(COUNTIFS('Player Game Log'!$A$4:$A$603,A77)&gt;0,"Yes","No"))</f>
        <v/>
      </c>
    </row>
    <row r="78" spans="1:29" ht="15" customHeight="1">
      <c r="A78" s="4"/>
      <c r="B78" s="15"/>
      <c r="C78" s="4"/>
      <c r="D78" s="7"/>
      <c r="E78" s="7"/>
      <c r="F78" s="7"/>
      <c r="G78" s="7"/>
      <c r="H78" s="8" t="str">
        <f t="shared" si="12"/>
        <v/>
      </c>
      <c r="I78" s="8" t="str">
        <f t="shared" si="13"/>
        <v/>
      </c>
      <c r="J78" s="8" t="str">
        <f t="shared" si="14"/>
        <v/>
      </c>
      <c r="K78" s="8" t="str">
        <f t="shared" si="15"/>
        <v/>
      </c>
      <c r="L78" s="10" t="str">
        <f t="shared" si="16"/>
        <v/>
      </c>
      <c r="M78" s="8" t="str">
        <f t="shared" si="17"/>
        <v/>
      </c>
      <c r="N78" s="8" t="str">
        <f>IF($A78="","",SUMIFS('Player Game Log'!$F$4:$F$603,'Player Game Log'!$A$4:$A$603,A78))</f>
        <v/>
      </c>
      <c r="O78" s="8" t="str">
        <f>IF($A78="","",SUMIFS('Player Game Log'!$G$4:$G$603,'Player Game Log'!$A$4:$A$603,A78))</f>
        <v/>
      </c>
      <c r="P78" s="8" t="str">
        <f>IF($A78="","",SUMIFS('Player Game Log'!$H$4:$H$603,'Player Game Log'!$A$4:$A$603,A78))</f>
        <v/>
      </c>
      <c r="Q78" s="8" t="str">
        <f>IF($A78="","",SUMIFS('Player Game Log'!$I$4:$I$603,'Player Game Log'!$A$4:$A$603,A78))</f>
        <v/>
      </c>
      <c r="R78" s="8" t="str">
        <f>IF($A78="","",SUMIFS('Player Game Log'!$R$4:$R$603,'Player Game Log'!$A$4:$A$603,A78))</f>
        <v/>
      </c>
      <c r="S78" s="8" t="str">
        <f>IF($A78="","",SUMIFS('Player Game Log'!$S$4:$S$603,'Player Game Log'!$A$4:$A$603,A78))</f>
        <v/>
      </c>
      <c r="T78" s="8" t="str">
        <f>IF($A78="","",SUMIFS('Player Game Log'!$J$4:$J$603,'Player Game Log'!$A$4:$A$603,A78))</f>
        <v/>
      </c>
      <c r="U78" s="8" t="str">
        <f>IF($A78="","",SUMIFS('Player Game Log'!$K$4:$K$603,'Player Game Log'!$A$4:$A$603,A78))</f>
        <v/>
      </c>
      <c r="V78" s="8" t="str">
        <f>IF($A78="","",SUMIFS('Player Game Log'!$L$4:$L$603,'Player Game Log'!$A$4:$A$603,A78))</f>
        <v/>
      </c>
      <c r="W78" s="8" t="str">
        <f>IF($A78="","",SUMIFS('Player Game Log'!$M$4:$M$603,'Player Game Log'!$A$4:$A$603,A78))</f>
        <v/>
      </c>
      <c r="X78" s="8" t="str">
        <f>IF($A78="","",SUMIFS('Player Game Log'!$N$4:$N$603,'Player Game Log'!$A$4:$A$603,A78))</f>
        <v/>
      </c>
      <c r="Y78" s="8" t="str">
        <f>IF($A78="","",SUMIFS('Player Game Log'!$O$4:$O$603,'Player Game Log'!$A$4:$A$603,A78))</f>
        <v/>
      </c>
      <c r="Z78" s="8" t="str">
        <f>IF($A78="","",SUMIFS('Player Game Log'!$P$4:$P$603,'Player Game Log'!$A$4:$A$603,A78))</f>
        <v/>
      </c>
      <c r="AA78" s="8" t="str">
        <f>IF($A78="","",SUMIFS('Player Game Log'!$Q$4:$Q$603,'Player Game Log'!$A$4:$A$603,A78))</f>
        <v/>
      </c>
      <c r="AB78" s="8" t="str">
        <f>IF($A78="","",COUNTIFS('Player Game Log'!$A$4:$A$603,A78))</f>
        <v/>
      </c>
      <c r="AC78" s="10" t="str">
        <f>IF($A78="","",IF(COUNTIFS('Player Game Log'!$A$4:$A$603,A78)&gt;0,"Yes","No"))</f>
        <v/>
      </c>
    </row>
    <row r="79" spans="1:29" ht="15" customHeight="1">
      <c r="A79" s="4"/>
      <c r="B79" s="15"/>
      <c r="C79" s="4"/>
      <c r="D79" s="7"/>
      <c r="E79" s="7"/>
      <c r="F79" s="7"/>
      <c r="G79" s="7"/>
      <c r="H79" s="8" t="str">
        <f t="shared" si="12"/>
        <v/>
      </c>
      <c r="I79" s="8" t="str">
        <f t="shared" si="13"/>
        <v/>
      </c>
      <c r="J79" s="8" t="str">
        <f t="shared" si="14"/>
        <v/>
      </c>
      <c r="K79" s="8" t="str">
        <f t="shared" si="15"/>
        <v/>
      </c>
      <c r="L79" s="10" t="str">
        <f t="shared" si="16"/>
        <v/>
      </c>
      <c r="M79" s="8" t="str">
        <f t="shared" si="17"/>
        <v/>
      </c>
      <c r="N79" s="8" t="str">
        <f>IF($A79="","",SUMIFS('Player Game Log'!$F$4:$F$603,'Player Game Log'!$A$4:$A$603,A79))</f>
        <v/>
      </c>
      <c r="O79" s="8" t="str">
        <f>IF($A79="","",SUMIFS('Player Game Log'!$G$4:$G$603,'Player Game Log'!$A$4:$A$603,A79))</f>
        <v/>
      </c>
      <c r="P79" s="8" t="str">
        <f>IF($A79="","",SUMIFS('Player Game Log'!$H$4:$H$603,'Player Game Log'!$A$4:$A$603,A79))</f>
        <v/>
      </c>
      <c r="Q79" s="8" t="str">
        <f>IF($A79="","",SUMIFS('Player Game Log'!$I$4:$I$603,'Player Game Log'!$A$4:$A$603,A79))</f>
        <v/>
      </c>
      <c r="R79" s="8" t="str">
        <f>IF($A79="","",SUMIFS('Player Game Log'!$R$4:$R$603,'Player Game Log'!$A$4:$A$603,A79))</f>
        <v/>
      </c>
      <c r="S79" s="8" t="str">
        <f>IF($A79="","",SUMIFS('Player Game Log'!$S$4:$S$603,'Player Game Log'!$A$4:$A$603,A79))</f>
        <v/>
      </c>
      <c r="T79" s="8" t="str">
        <f>IF($A79="","",SUMIFS('Player Game Log'!$J$4:$J$603,'Player Game Log'!$A$4:$A$603,A79))</f>
        <v/>
      </c>
      <c r="U79" s="8" t="str">
        <f>IF($A79="","",SUMIFS('Player Game Log'!$K$4:$K$603,'Player Game Log'!$A$4:$A$603,A79))</f>
        <v/>
      </c>
      <c r="V79" s="8" t="str">
        <f>IF($A79="","",SUMIFS('Player Game Log'!$L$4:$L$603,'Player Game Log'!$A$4:$A$603,A79))</f>
        <v/>
      </c>
      <c r="W79" s="8" t="str">
        <f>IF($A79="","",SUMIFS('Player Game Log'!$M$4:$M$603,'Player Game Log'!$A$4:$A$603,A79))</f>
        <v/>
      </c>
      <c r="X79" s="8" t="str">
        <f>IF($A79="","",SUMIFS('Player Game Log'!$N$4:$N$603,'Player Game Log'!$A$4:$A$603,A79))</f>
        <v/>
      </c>
      <c r="Y79" s="8" t="str">
        <f>IF($A79="","",SUMIFS('Player Game Log'!$O$4:$O$603,'Player Game Log'!$A$4:$A$603,A79))</f>
        <v/>
      </c>
      <c r="Z79" s="8" t="str">
        <f>IF($A79="","",SUMIFS('Player Game Log'!$P$4:$P$603,'Player Game Log'!$A$4:$A$603,A79))</f>
        <v/>
      </c>
      <c r="AA79" s="8" t="str">
        <f>IF($A79="","",SUMIFS('Player Game Log'!$Q$4:$Q$603,'Player Game Log'!$A$4:$A$603,A79))</f>
        <v/>
      </c>
      <c r="AB79" s="8" t="str">
        <f>IF($A79="","",COUNTIFS('Player Game Log'!$A$4:$A$603,A79))</f>
        <v/>
      </c>
      <c r="AC79" s="10" t="str">
        <f>IF($A79="","",IF(COUNTIFS('Player Game Log'!$A$4:$A$603,A79)&gt;0,"Yes","No"))</f>
        <v/>
      </c>
    </row>
    <row r="80" spans="1:29" ht="15" customHeight="1">
      <c r="A80" s="4"/>
      <c r="B80" s="15"/>
      <c r="C80" s="4"/>
      <c r="D80" s="7"/>
      <c r="E80" s="7"/>
      <c r="F80" s="7"/>
      <c r="G80" s="7"/>
      <c r="H80" s="8" t="str">
        <f t="shared" si="12"/>
        <v/>
      </c>
      <c r="I80" s="8" t="str">
        <f t="shared" si="13"/>
        <v/>
      </c>
      <c r="J80" s="8" t="str">
        <f t="shared" si="14"/>
        <v/>
      </c>
      <c r="K80" s="8" t="str">
        <f t="shared" si="15"/>
        <v/>
      </c>
      <c r="L80" s="10" t="str">
        <f t="shared" si="16"/>
        <v/>
      </c>
      <c r="M80" s="8" t="str">
        <f t="shared" si="17"/>
        <v/>
      </c>
      <c r="N80" s="8" t="str">
        <f>IF($A80="","",SUMIFS('Player Game Log'!$F$4:$F$603,'Player Game Log'!$A$4:$A$603,A80))</f>
        <v/>
      </c>
      <c r="O80" s="8" t="str">
        <f>IF($A80="","",SUMIFS('Player Game Log'!$G$4:$G$603,'Player Game Log'!$A$4:$A$603,A80))</f>
        <v/>
      </c>
      <c r="P80" s="8" t="str">
        <f>IF($A80="","",SUMIFS('Player Game Log'!$H$4:$H$603,'Player Game Log'!$A$4:$A$603,A80))</f>
        <v/>
      </c>
      <c r="Q80" s="8" t="str">
        <f>IF($A80="","",SUMIFS('Player Game Log'!$I$4:$I$603,'Player Game Log'!$A$4:$A$603,A80))</f>
        <v/>
      </c>
      <c r="R80" s="8" t="str">
        <f>IF($A80="","",SUMIFS('Player Game Log'!$R$4:$R$603,'Player Game Log'!$A$4:$A$603,A80))</f>
        <v/>
      </c>
      <c r="S80" s="8" t="str">
        <f>IF($A80="","",SUMIFS('Player Game Log'!$S$4:$S$603,'Player Game Log'!$A$4:$A$603,A80))</f>
        <v/>
      </c>
      <c r="T80" s="8" t="str">
        <f>IF($A80="","",SUMIFS('Player Game Log'!$J$4:$J$603,'Player Game Log'!$A$4:$A$603,A80))</f>
        <v/>
      </c>
      <c r="U80" s="8" t="str">
        <f>IF($A80="","",SUMIFS('Player Game Log'!$K$4:$K$603,'Player Game Log'!$A$4:$A$603,A80))</f>
        <v/>
      </c>
      <c r="V80" s="8" t="str">
        <f>IF($A80="","",SUMIFS('Player Game Log'!$L$4:$L$603,'Player Game Log'!$A$4:$A$603,A80))</f>
        <v/>
      </c>
      <c r="W80" s="8" t="str">
        <f>IF($A80="","",SUMIFS('Player Game Log'!$M$4:$M$603,'Player Game Log'!$A$4:$A$603,A80))</f>
        <v/>
      </c>
      <c r="X80" s="8" t="str">
        <f>IF($A80="","",SUMIFS('Player Game Log'!$N$4:$N$603,'Player Game Log'!$A$4:$A$603,A80))</f>
        <v/>
      </c>
      <c r="Y80" s="8" t="str">
        <f>IF($A80="","",SUMIFS('Player Game Log'!$O$4:$O$603,'Player Game Log'!$A$4:$A$603,A80))</f>
        <v/>
      </c>
      <c r="Z80" s="8" t="str">
        <f>IF($A80="","",SUMIFS('Player Game Log'!$P$4:$P$603,'Player Game Log'!$A$4:$A$603,A80))</f>
        <v/>
      </c>
      <c r="AA80" s="8" t="str">
        <f>IF($A80="","",SUMIFS('Player Game Log'!$Q$4:$Q$603,'Player Game Log'!$A$4:$A$603,A80))</f>
        <v/>
      </c>
      <c r="AB80" s="8" t="str">
        <f>IF($A80="","",COUNTIFS('Player Game Log'!$A$4:$A$603,A80))</f>
        <v/>
      </c>
      <c r="AC80" s="10" t="str">
        <f>IF($A80="","",IF(COUNTIFS('Player Game Log'!$A$4:$A$603,A80)&gt;0,"Yes","No"))</f>
        <v/>
      </c>
    </row>
    <row r="81" spans="1:29" ht="15" customHeight="1">
      <c r="A81" s="4"/>
      <c r="B81" s="15"/>
      <c r="C81" s="4"/>
      <c r="D81" s="7"/>
      <c r="E81" s="7"/>
      <c r="F81" s="7"/>
      <c r="G81" s="7"/>
      <c r="H81" s="8" t="str">
        <f t="shared" si="12"/>
        <v/>
      </c>
      <c r="I81" s="8" t="str">
        <f t="shared" si="13"/>
        <v/>
      </c>
      <c r="J81" s="8" t="str">
        <f t="shared" si="14"/>
        <v/>
      </c>
      <c r="K81" s="8" t="str">
        <f t="shared" si="15"/>
        <v/>
      </c>
      <c r="L81" s="10" t="str">
        <f t="shared" si="16"/>
        <v/>
      </c>
      <c r="M81" s="8" t="str">
        <f t="shared" si="17"/>
        <v/>
      </c>
      <c r="N81" s="8" t="str">
        <f>IF($A81="","",SUMIFS('Player Game Log'!$F$4:$F$603,'Player Game Log'!$A$4:$A$603,A81))</f>
        <v/>
      </c>
      <c r="O81" s="8" t="str">
        <f>IF($A81="","",SUMIFS('Player Game Log'!$G$4:$G$603,'Player Game Log'!$A$4:$A$603,A81))</f>
        <v/>
      </c>
      <c r="P81" s="8" t="str">
        <f>IF($A81="","",SUMIFS('Player Game Log'!$H$4:$H$603,'Player Game Log'!$A$4:$A$603,A81))</f>
        <v/>
      </c>
      <c r="Q81" s="8" t="str">
        <f>IF($A81="","",SUMIFS('Player Game Log'!$I$4:$I$603,'Player Game Log'!$A$4:$A$603,A81))</f>
        <v/>
      </c>
      <c r="R81" s="8" t="str">
        <f>IF($A81="","",SUMIFS('Player Game Log'!$R$4:$R$603,'Player Game Log'!$A$4:$A$603,A81))</f>
        <v/>
      </c>
      <c r="S81" s="8" t="str">
        <f>IF($A81="","",SUMIFS('Player Game Log'!$S$4:$S$603,'Player Game Log'!$A$4:$A$603,A81))</f>
        <v/>
      </c>
      <c r="T81" s="8" t="str">
        <f>IF($A81="","",SUMIFS('Player Game Log'!$J$4:$J$603,'Player Game Log'!$A$4:$A$603,A81))</f>
        <v/>
      </c>
      <c r="U81" s="8" t="str">
        <f>IF($A81="","",SUMIFS('Player Game Log'!$K$4:$K$603,'Player Game Log'!$A$4:$A$603,A81))</f>
        <v/>
      </c>
      <c r="V81" s="8" t="str">
        <f>IF($A81="","",SUMIFS('Player Game Log'!$L$4:$L$603,'Player Game Log'!$A$4:$A$603,A81))</f>
        <v/>
      </c>
      <c r="W81" s="8" t="str">
        <f>IF($A81="","",SUMIFS('Player Game Log'!$M$4:$M$603,'Player Game Log'!$A$4:$A$603,A81))</f>
        <v/>
      </c>
      <c r="X81" s="8" t="str">
        <f>IF($A81="","",SUMIFS('Player Game Log'!$N$4:$N$603,'Player Game Log'!$A$4:$A$603,A81))</f>
        <v/>
      </c>
      <c r="Y81" s="8" t="str">
        <f>IF($A81="","",SUMIFS('Player Game Log'!$O$4:$O$603,'Player Game Log'!$A$4:$A$603,A81))</f>
        <v/>
      </c>
      <c r="Z81" s="8" t="str">
        <f>IF($A81="","",SUMIFS('Player Game Log'!$P$4:$P$603,'Player Game Log'!$A$4:$A$603,A81))</f>
        <v/>
      </c>
      <c r="AA81" s="8" t="str">
        <f>IF($A81="","",SUMIFS('Player Game Log'!$Q$4:$Q$603,'Player Game Log'!$A$4:$A$603,A81))</f>
        <v/>
      </c>
      <c r="AB81" s="8" t="str">
        <f>IF($A81="","",COUNTIFS('Player Game Log'!$A$4:$A$603,A81))</f>
        <v/>
      </c>
      <c r="AC81" s="10" t="str">
        <f>IF($A81="","",IF(COUNTIFS('Player Game Log'!$A$4:$A$603,A81)&gt;0,"Yes","No"))</f>
        <v/>
      </c>
    </row>
    <row r="82" spans="1:29" ht="15" customHeight="1">
      <c r="A82" s="4"/>
      <c r="B82" s="15"/>
      <c r="C82" s="4"/>
      <c r="D82" s="7"/>
      <c r="E82" s="7"/>
      <c r="F82" s="7"/>
      <c r="G82" s="7"/>
      <c r="H82" s="8" t="str">
        <f t="shared" si="12"/>
        <v/>
      </c>
      <c r="I82" s="8" t="str">
        <f t="shared" si="13"/>
        <v/>
      </c>
      <c r="J82" s="8" t="str">
        <f t="shared" si="14"/>
        <v/>
      </c>
      <c r="K82" s="8" t="str">
        <f t="shared" si="15"/>
        <v/>
      </c>
      <c r="L82" s="10" t="str">
        <f t="shared" si="16"/>
        <v/>
      </c>
      <c r="M82" s="8" t="str">
        <f t="shared" si="17"/>
        <v/>
      </c>
      <c r="N82" s="8" t="str">
        <f>IF($A82="","",SUMIFS('Player Game Log'!$F$4:$F$603,'Player Game Log'!$A$4:$A$603,A82))</f>
        <v/>
      </c>
      <c r="O82" s="8" t="str">
        <f>IF($A82="","",SUMIFS('Player Game Log'!$G$4:$G$603,'Player Game Log'!$A$4:$A$603,A82))</f>
        <v/>
      </c>
      <c r="P82" s="8" t="str">
        <f>IF($A82="","",SUMIFS('Player Game Log'!$H$4:$H$603,'Player Game Log'!$A$4:$A$603,A82))</f>
        <v/>
      </c>
      <c r="Q82" s="8" t="str">
        <f>IF($A82="","",SUMIFS('Player Game Log'!$I$4:$I$603,'Player Game Log'!$A$4:$A$603,A82))</f>
        <v/>
      </c>
      <c r="R82" s="8" t="str">
        <f>IF($A82="","",SUMIFS('Player Game Log'!$R$4:$R$603,'Player Game Log'!$A$4:$A$603,A82))</f>
        <v/>
      </c>
      <c r="S82" s="8" t="str">
        <f>IF($A82="","",SUMIFS('Player Game Log'!$S$4:$S$603,'Player Game Log'!$A$4:$A$603,A82))</f>
        <v/>
      </c>
      <c r="T82" s="8" t="str">
        <f>IF($A82="","",SUMIFS('Player Game Log'!$J$4:$J$603,'Player Game Log'!$A$4:$A$603,A82))</f>
        <v/>
      </c>
      <c r="U82" s="8" t="str">
        <f>IF($A82="","",SUMIFS('Player Game Log'!$K$4:$K$603,'Player Game Log'!$A$4:$A$603,A82))</f>
        <v/>
      </c>
      <c r="V82" s="8" t="str">
        <f>IF($A82="","",SUMIFS('Player Game Log'!$L$4:$L$603,'Player Game Log'!$A$4:$A$603,A82))</f>
        <v/>
      </c>
      <c r="W82" s="8" t="str">
        <f>IF($A82="","",SUMIFS('Player Game Log'!$M$4:$M$603,'Player Game Log'!$A$4:$A$603,A82))</f>
        <v/>
      </c>
      <c r="X82" s="8" t="str">
        <f>IF($A82="","",SUMIFS('Player Game Log'!$N$4:$N$603,'Player Game Log'!$A$4:$A$603,A82))</f>
        <v/>
      </c>
      <c r="Y82" s="8" t="str">
        <f>IF($A82="","",SUMIFS('Player Game Log'!$O$4:$O$603,'Player Game Log'!$A$4:$A$603,A82))</f>
        <v/>
      </c>
      <c r="Z82" s="8" t="str">
        <f>IF($A82="","",SUMIFS('Player Game Log'!$P$4:$P$603,'Player Game Log'!$A$4:$A$603,A82))</f>
        <v/>
      </c>
      <c r="AA82" s="8" t="str">
        <f>IF($A82="","",SUMIFS('Player Game Log'!$Q$4:$Q$603,'Player Game Log'!$A$4:$A$603,A82))</f>
        <v/>
      </c>
      <c r="AB82" s="8" t="str">
        <f>IF($A82="","",COUNTIFS('Player Game Log'!$A$4:$A$603,A82))</f>
        <v/>
      </c>
      <c r="AC82" s="10" t="str">
        <f>IF($A82="","",IF(COUNTIFS('Player Game Log'!$A$4:$A$603,A82)&gt;0,"Yes","No"))</f>
        <v/>
      </c>
    </row>
    <row r="83" spans="1:29" ht="15" customHeight="1">
      <c r="A83" s="4"/>
      <c r="B83" s="15"/>
      <c r="C83" s="4"/>
      <c r="D83" s="7"/>
      <c r="E83" s="7"/>
      <c r="F83" s="7"/>
      <c r="G83" s="7"/>
      <c r="H83" s="8" t="str">
        <f t="shared" si="12"/>
        <v/>
      </c>
      <c r="I83" s="8" t="str">
        <f t="shared" si="13"/>
        <v/>
      </c>
      <c r="J83" s="8" t="str">
        <f t="shared" si="14"/>
        <v/>
      </c>
      <c r="K83" s="8" t="str">
        <f t="shared" si="15"/>
        <v/>
      </c>
      <c r="L83" s="10" t="str">
        <f t="shared" si="16"/>
        <v/>
      </c>
      <c r="M83" s="8" t="str">
        <f t="shared" si="17"/>
        <v/>
      </c>
      <c r="N83" s="8" t="str">
        <f>IF($A83="","",SUMIFS('Player Game Log'!$F$4:$F$603,'Player Game Log'!$A$4:$A$603,A83))</f>
        <v/>
      </c>
      <c r="O83" s="8" t="str">
        <f>IF($A83="","",SUMIFS('Player Game Log'!$G$4:$G$603,'Player Game Log'!$A$4:$A$603,A83))</f>
        <v/>
      </c>
      <c r="P83" s="8" t="str">
        <f>IF($A83="","",SUMIFS('Player Game Log'!$H$4:$H$603,'Player Game Log'!$A$4:$A$603,A83))</f>
        <v/>
      </c>
      <c r="Q83" s="8" t="str">
        <f>IF($A83="","",SUMIFS('Player Game Log'!$I$4:$I$603,'Player Game Log'!$A$4:$A$603,A83))</f>
        <v/>
      </c>
      <c r="R83" s="8" t="str">
        <f>IF($A83="","",SUMIFS('Player Game Log'!$R$4:$R$603,'Player Game Log'!$A$4:$A$603,A83))</f>
        <v/>
      </c>
      <c r="S83" s="8" t="str">
        <f>IF($A83="","",SUMIFS('Player Game Log'!$S$4:$S$603,'Player Game Log'!$A$4:$A$603,A83))</f>
        <v/>
      </c>
      <c r="T83" s="8" t="str">
        <f>IF($A83="","",SUMIFS('Player Game Log'!$J$4:$J$603,'Player Game Log'!$A$4:$A$603,A83))</f>
        <v/>
      </c>
      <c r="U83" s="8" t="str">
        <f>IF($A83="","",SUMIFS('Player Game Log'!$K$4:$K$603,'Player Game Log'!$A$4:$A$603,A83))</f>
        <v/>
      </c>
      <c r="V83" s="8" t="str">
        <f>IF($A83="","",SUMIFS('Player Game Log'!$L$4:$L$603,'Player Game Log'!$A$4:$A$603,A83))</f>
        <v/>
      </c>
      <c r="W83" s="8" t="str">
        <f>IF($A83="","",SUMIFS('Player Game Log'!$M$4:$M$603,'Player Game Log'!$A$4:$A$603,A83))</f>
        <v/>
      </c>
      <c r="X83" s="8" t="str">
        <f>IF($A83="","",SUMIFS('Player Game Log'!$N$4:$N$603,'Player Game Log'!$A$4:$A$603,A83))</f>
        <v/>
      </c>
      <c r="Y83" s="8" t="str">
        <f>IF($A83="","",SUMIFS('Player Game Log'!$O$4:$O$603,'Player Game Log'!$A$4:$A$603,A83))</f>
        <v/>
      </c>
      <c r="Z83" s="8" t="str">
        <f>IF($A83="","",SUMIFS('Player Game Log'!$P$4:$P$603,'Player Game Log'!$A$4:$A$603,A83))</f>
        <v/>
      </c>
      <c r="AA83" s="8" t="str">
        <f>IF($A83="","",SUMIFS('Player Game Log'!$Q$4:$Q$603,'Player Game Log'!$A$4:$A$603,A83))</f>
        <v/>
      </c>
      <c r="AB83" s="8" t="str">
        <f>IF($A83="","",COUNTIFS('Player Game Log'!$A$4:$A$603,A83))</f>
        <v/>
      </c>
      <c r="AC83" s="10" t="str">
        <f>IF($A83="","",IF(COUNTIFS('Player Game Log'!$A$4:$A$603,A83)&gt;0,"Yes","No"))</f>
        <v/>
      </c>
    </row>
    <row r="84" spans="1:29" ht="15" customHeight="1">
      <c r="A84" s="4"/>
      <c r="B84" s="15"/>
      <c r="C84" s="4"/>
      <c r="D84" s="7"/>
      <c r="E84" s="7"/>
      <c r="F84" s="7"/>
      <c r="G84" s="7"/>
      <c r="H84" s="8" t="str">
        <f t="shared" si="12"/>
        <v/>
      </c>
      <c r="I84" s="8" t="str">
        <f t="shared" si="13"/>
        <v/>
      </c>
      <c r="J84" s="8" t="str">
        <f t="shared" si="14"/>
        <v/>
      </c>
      <c r="K84" s="8" t="str">
        <f t="shared" si="15"/>
        <v/>
      </c>
      <c r="L84" s="10" t="str">
        <f t="shared" si="16"/>
        <v/>
      </c>
      <c r="M84" s="8" t="str">
        <f t="shared" si="17"/>
        <v/>
      </c>
      <c r="N84" s="8" t="str">
        <f>IF($A84="","",SUMIFS('Player Game Log'!$F$4:$F$603,'Player Game Log'!$A$4:$A$603,A84))</f>
        <v/>
      </c>
      <c r="O84" s="8" t="str">
        <f>IF($A84="","",SUMIFS('Player Game Log'!$G$4:$G$603,'Player Game Log'!$A$4:$A$603,A84))</f>
        <v/>
      </c>
      <c r="P84" s="8" t="str">
        <f>IF($A84="","",SUMIFS('Player Game Log'!$H$4:$H$603,'Player Game Log'!$A$4:$A$603,A84))</f>
        <v/>
      </c>
      <c r="Q84" s="8" t="str">
        <f>IF($A84="","",SUMIFS('Player Game Log'!$I$4:$I$603,'Player Game Log'!$A$4:$A$603,A84))</f>
        <v/>
      </c>
      <c r="R84" s="8" t="str">
        <f>IF($A84="","",SUMIFS('Player Game Log'!$R$4:$R$603,'Player Game Log'!$A$4:$A$603,A84))</f>
        <v/>
      </c>
      <c r="S84" s="8" t="str">
        <f>IF($A84="","",SUMIFS('Player Game Log'!$S$4:$S$603,'Player Game Log'!$A$4:$A$603,A84))</f>
        <v/>
      </c>
      <c r="T84" s="8" t="str">
        <f>IF($A84="","",SUMIFS('Player Game Log'!$J$4:$J$603,'Player Game Log'!$A$4:$A$603,A84))</f>
        <v/>
      </c>
      <c r="U84" s="8" t="str">
        <f>IF($A84="","",SUMIFS('Player Game Log'!$K$4:$K$603,'Player Game Log'!$A$4:$A$603,A84))</f>
        <v/>
      </c>
      <c r="V84" s="8" t="str">
        <f>IF($A84="","",SUMIFS('Player Game Log'!$L$4:$L$603,'Player Game Log'!$A$4:$A$603,A84))</f>
        <v/>
      </c>
      <c r="W84" s="8" t="str">
        <f>IF($A84="","",SUMIFS('Player Game Log'!$M$4:$M$603,'Player Game Log'!$A$4:$A$603,A84))</f>
        <v/>
      </c>
      <c r="X84" s="8" t="str">
        <f>IF($A84="","",SUMIFS('Player Game Log'!$N$4:$N$603,'Player Game Log'!$A$4:$A$603,A84))</f>
        <v/>
      </c>
      <c r="Y84" s="8" t="str">
        <f>IF($A84="","",SUMIFS('Player Game Log'!$O$4:$O$603,'Player Game Log'!$A$4:$A$603,A84))</f>
        <v/>
      </c>
      <c r="Z84" s="8" t="str">
        <f>IF($A84="","",SUMIFS('Player Game Log'!$P$4:$P$603,'Player Game Log'!$A$4:$A$603,A84))</f>
        <v/>
      </c>
      <c r="AA84" s="8" t="str">
        <f>IF($A84="","",SUMIFS('Player Game Log'!$Q$4:$Q$603,'Player Game Log'!$A$4:$A$603,A84))</f>
        <v/>
      </c>
      <c r="AB84" s="8" t="str">
        <f>IF($A84="","",COUNTIFS('Player Game Log'!$A$4:$A$603,A84))</f>
        <v/>
      </c>
      <c r="AC84" s="10" t="str">
        <f>IF($A84="","",IF(COUNTIFS('Player Game Log'!$A$4:$A$603,A84)&gt;0,"Yes","No"))</f>
        <v/>
      </c>
    </row>
    <row r="85" spans="1:29" ht="15" customHeight="1">
      <c r="A85" s="4"/>
      <c r="B85" s="15"/>
      <c r="C85" s="4"/>
      <c r="D85" s="7"/>
      <c r="E85" s="7"/>
      <c r="F85" s="7"/>
      <c r="G85" s="7"/>
      <c r="H85" s="8" t="str">
        <f t="shared" si="12"/>
        <v/>
      </c>
      <c r="I85" s="8" t="str">
        <f t="shared" si="13"/>
        <v/>
      </c>
      <c r="J85" s="8" t="str">
        <f t="shared" si="14"/>
        <v/>
      </c>
      <c r="K85" s="8" t="str">
        <f t="shared" si="15"/>
        <v/>
      </c>
      <c r="L85" s="10" t="str">
        <f t="shared" si="16"/>
        <v/>
      </c>
      <c r="M85" s="8" t="str">
        <f t="shared" si="17"/>
        <v/>
      </c>
      <c r="N85" s="8" t="str">
        <f>IF($A85="","",SUMIFS('Player Game Log'!$F$4:$F$603,'Player Game Log'!$A$4:$A$603,A85))</f>
        <v/>
      </c>
      <c r="O85" s="8" t="str">
        <f>IF($A85="","",SUMIFS('Player Game Log'!$G$4:$G$603,'Player Game Log'!$A$4:$A$603,A85))</f>
        <v/>
      </c>
      <c r="P85" s="8" t="str">
        <f>IF($A85="","",SUMIFS('Player Game Log'!$H$4:$H$603,'Player Game Log'!$A$4:$A$603,A85))</f>
        <v/>
      </c>
      <c r="Q85" s="8" t="str">
        <f>IF($A85="","",SUMIFS('Player Game Log'!$I$4:$I$603,'Player Game Log'!$A$4:$A$603,A85))</f>
        <v/>
      </c>
      <c r="R85" s="8" t="str">
        <f>IF($A85="","",SUMIFS('Player Game Log'!$R$4:$R$603,'Player Game Log'!$A$4:$A$603,A85))</f>
        <v/>
      </c>
      <c r="S85" s="8" t="str">
        <f>IF($A85="","",SUMIFS('Player Game Log'!$S$4:$S$603,'Player Game Log'!$A$4:$A$603,A85))</f>
        <v/>
      </c>
      <c r="T85" s="8" t="str">
        <f>IF($A85="","",SUMIFS('Player Game Log'!$J$4:$J$603,'Player Game Log'!$A$4:$A$603,A85))</f>
        <v/>
      </c>
      <c r="U85" s="8" t="str">
        <f>IF($A85="","",SUMIFS('Player Game Log'!$K$4:$K$603,'Player Game Log'!$A$4:$A$603,A85))</f>
        <v/>
      </c>
      <c r="V85" s="8" t="str">
        <f>IF($A85="","",SUMIFS('Player Game Log'!$L$4:$L$603,'Player Game Log'!$A$4:$A$603,A85))</f>
        <v/>
      </c>
      <c r="W85" s="8" t="str">
        <f>IF($A85="","",SUMIFS('Player Game Log'!$M$4:$M$603,'Player Game Log'!$A$4:$A$603,A85))</f>
        <v/>
      </c>
      <c r="X85" s="8" t="str">
        <f>IF($A85="","",SUMIFS('Player Game Log'!$N$4:$N$603,'Player Game Log'!$A$4:$A$603,A85))</f>
        <v/>
      </c>
      <c r="Y85" s="8" t="str">
        <f>IF($A85="","",SUMIFS('Player Game Log'!$O$4:$O$603,'Player Game Log'!$A$4:$A$603,A85))</f>
        <v/>
      </c>
      <c r="Z85" s="8" t="str">
        <f>IF($A85="","",SUMIFS('Player Game Log'!$P$4:$P$603,'Player Game Log'!$A$4:$A$603,A85))</f>
        <v/>
      </c>
      <c r="AA85" s="8" t="str">
        <f>IF($A85="","",SUMIFS('Player Game Log'!$Q$4:$Q$603,'Player Game Log'!$A$4:$A$603,A85))</f>
        <v/>
      </c>
      <c r="AB85" s="8" t="str">
        <f>IF($A85="","",COUNTIFS('Player Game Log'!$A$4:$A$603,A85))</f>
        <v/>
      </c>
      <c r="AC85" s="10" t="str">
        <f>IF($A85="","",IF(COUNTIFS('Player Game Log'!$A$4:$A$603,A85)&gt;0,"Yes","No"))</f>
        <v/>
      </c>
    </row>
    <row r="86" spans="1:29" ht="15" customHeight="1">
      <c r="A86" s="4"/>
      <c r="B86" s="15"/>
      <c r="C86" s="4"/>
      <c r="D86" s="7"/>
      <c r="E86" s="7"/>
      <c r="F86" s="7"/>
      <c r="G86" s="7"/>
      <c r="H86" s="8" t="str">
        <f t="shared" si="12"/>
        <v/>
      </c>
      <c r="I86" s="8" t="str">
        <f t="shared" si="13"/>
        <v/>
      </c>
      <c r="J86" s="8" t="str">
        <f t="shared" si="14"/>
        <v/>
      </c>
      <c r="K86" s="8" t="str">
        <f t="shared" si="15"/>
        <v/>
      </c>
      <c r="L86" s="10" t="str">
        <f t="shared" si="16"/>
        <v/>
      </c>
      <c r="M86" s="8" t="str">
        <f t="shared" si="17"/>
        <v/>
      </c>
      <c r="N86" s="8" t="str">
        <f>IF($A86="","",SUMIFS('Player Game Log'!$F$4:$F$603,'Player Game Log'!$A$4:$A$603,A86))</f>
        <v/>
      </c>
      <c r="O86" s="8" t="str">
        <f>IF($A86="","",SUMIFS('Player Game Log'!$G$4:$G$603,'Player Game Log'!$A$4:$A$603,A86))</f>
        <v/>
      </c>
      <c r="P86" s="8" t="str">
        <f>IF($A86="","",SUMIFS('Player Game Log'!$H$4:$H$603,'Player Game Log'!$A$4:$A$603,A86))</f>
        <v/>
      </c>
      <c r="Q86" s="8" t="str">
        <f>IF($A86="","",SUMIFS('Player Game Log'!$I$4:$I$603,'Player Game Log'!$A$4:$A$603,A86))</f>
        <v/>
      </c>
      <c r="R86" s="8" t="str">
        <f>IF($A86="","",SUMIFS('Player Game Log'!$R$4:$R$603,'Player Game Log'!$A$4:$A$603,A86))</f>
        <v/>
      </c>
      <c r="S86" s="8" t="str">
        <f>IF($A86="","",SUMIFS('Player Game Log'!$S$4:$S$603,'Player Game Log'!$A$4:$A$603,A86))</f>
        <v/>
      </c>
      <c r="T86" s="8" t="str">
        <f>IF($A86="","",SUMIFS('Player Game Log'!$J$4:$J$603,'Player Game Log'!$A$4:$A$603,A86))</f>
        <v/>
      </c>
      <c r="U86" s="8" t="str">
        <f>IF($A86="","",SUMIFS('Player Game Log'!$K$4:$K$603,'Player Game Log'!$A$4:$A$603,A86))</f>
        <v/>
      </c>
      <c r="V86" s="8" t="str">
        <f>IF($A86="","",SUMIFS('Player Game Log'!$L$4:$L$603,'Player Game Log'!$A$4:$A$603,A86))</f>
        <v/>
      </c>
      <c r="W86" s="8" t="str">
        <f>IF($A86="","",SUMIFS('Player Game Log'!$M$4:$M$603,'Player Game Log'!$A$4:$A$603,A86))</f>
        <v/>
      </c>
      <c r="X86" s="8" t="str">
        <f>IF($A86="","",SUMIFS('Player Game Log'!$N$4:$N$603,'Player Game Log'!$A$4:$A$603,A86))</f>
        <v/>
      </c>
      <c r="Y86" s="8" t="str">
        <f>IF($A86="","",SUMIFS('Player Game Log'!$O$4:$O$603,'Player Game Log'!$A$4:$A$603,A86))</f>
        <v/>
      </c>
      <c r="Z86" s="8" t="str">
        <f>IF($A86="","",SUMIFS('Player Game Log'!$P$4:$P$603,'Player Game Log'!$A$4:$A$603,A86))</f>
        <v/>
      </c>
      <c r="AA86" s="8" t="str">
        <f>IF($A86="","",SUMIFS('Player Game Log'!$Q$4:$Q$603,'Player Game Log'!$A$4:$A$603,A86))</f>
        <v/>
      </c>
      <c r="AB86" s="8" t="str">
        <f>IF($A86="","",COUNTIFS('Player Game Log'!$A$4:$A$603,A86))</f>
        <v/>
      </c>
      <c r="AC86" s="10" t="str">
        <f>IF($A86="","",IF(COUNTIFS('Player Game Log'!$A$4:$A$603,A86)&gt;0,"Yes","No"))</f>
        <v/>
      </c>
    </row>
    <row r="87" spans="1:29" ht="15" customHeight="1">
      <c r="A87" s="4"/>
      <c r="B87" s="15"/>
      <c r="C87" s="4"/>
      <c r="D87" s="7"/>
      <c r="E87" s="7"/>
      <c r="F87" s="7"/>
      <c r="G87" s="7"/>
      <c r="H87" s="8" t="str">
        <f t="shared" si="12"/>
        <v/>
      </c>
      <c r="I87" s="8" t="str">
        <f t="shared" si="13"/>
        <v/>
      </c>
      <c r="J87" s="8" t="str">
        <f t="shared" si="14"/>
        <v/>
      </c>
      <c r="K87" s="8" t="str">
        <f t="shared" si="15"/>
        <v/>
      </c>
      <c r="L87" s="10" t="str">
        <f t="shared" si="16"/>
        <v/>
      </c>
      <c r="M87" s="8" t="str">
        <f t="shared" si="17"/>
        <v/>
      </c>
      <c r="N87" s="8" t="str">
        <f>IF($A87="","",SUMIFS('Player Game Log'!$F$4:$F$603,'Player Game Log'!$A$4:$A$603,A87))</f>
        <v/>
      </c>
      <c r="O87" s="8" t="str">
        <f>IF($A87="","",SUMIFS('Player Game Log'!$G$4:$G$603,'Player Game Log'!$A$4:$A$603,A87))</f>
        <v/>
      </c>
      <c r="P87" s="8" t="str">
        <f>IF($A87="","",SUMIFS('Player Game Log'!$H$4:$H$603,'Player Game Log'!$A$4:$A$603,A87))</f>
        <v/>
      </c>
      <c r="Q87" s="8" t="str">
        <f>IF($A87="","",SUMIFS('Player Game Log'!$I$4:$I$603,'Player Game Log'!$A$4:$A$603,A87))</f>
        <v/>
      </c>
      <c r="R87" s="8" t="str">
        <f>IF($A87="","",SUMIFS('Player Game Log'!$R$4:$R$603,'Player Game Log'!$A$4:$A$603,A87))</f>
        <v/>
      </c>
      <c r="S87" s="8" t="str">
        <f>IF($A87="","",SUMIFS('Player Game Log'!$S$4:$S$603,'Player Game Log'!$A$4:$A$603,A87))</f>
        <v/>
      </c>
      <c r="T87" s="8" t="str">
        <f>IF($A87="","",SUMIFS('Player Game Log'!$J$4:$J$603,'Player Game Log'!$A$4:$A$603,A87))</f>
        <v/>
      </c>
      <c r="U87" s="8" t="str">
        <f>IF($A87="","",SUMIFS('Player Game Log'!$K$4:$K$603,'Player Game Log'!$A$4:$A$603,A87))</f>
        <v/>
      </c>
      <c r="V87" s="8" t="str">
        <f>IF($A87="","",SUMIFS('Player Game Log'!$L$4:$L$603,'Player Game Log'!$A$4:$A$603,A87))</f>
        <v/>
      </c>
      <c r="W87" s="8" t="str">
        <f>IF($A87="","",SUMIFS('Player Game Log'!$M$4:$M$603,'Player Game Log'!$A$4:$A$603,A87))</f>
        <v/>
      </c>
      <c r="X87" s="8" t="str">
        <f>IF($A87="","",SUMIFS('Player Game Log'!$N$4:$N$603,'Player Game Log'!$A$4:$A$603,A87))</f>
        <v/>
      </c>
      <c r="Y87" s="8" t="str">
        <f>IF($A87="","",SUMIFS('Player Game Log'!$O$4:$O$603,'Player Game Log'!$A$4:$A$603,A87))</f>
        <v/>
      </c>
      <c r="Z87" s="8" t="str">
        <f>IF($A87="","",SUMIFS('Player Game Log'!$P$4:$P$603,'Player Game Log'!$A$4:$A$603,A87))</f>
        <v/>
      </c>
      <c r="AA87" s="8" t="str">
        <f>IF($A87="","",SUMIFS('Player Game Log'!$Q$4:$Q$603,'Player Game Log'!$A$4:$A$603,A87))</f>
        <v/>
      </c>
      <c r="AB87" s="8" t="str">
        <f>IF($A87="","",COUNTIFS('Player Game Log'!$A$4:$A$603,A87))</f>
        <v/>
      </c>
      <c r="AC87" s="10" t="str">
        <f>IF($A87="","",IF(COUNTIFS('Player Game Log'!$A$4:$A$603,A87)&gt;0,"Yes","No"))</f>
        <v/>
      </c>
    </row>
    <row r="88" spans="1:29" ht="15" customHeight="1">
      <c r="A88" s="4"/>
      <c r="B88" s="15"/>
      <c r="C88" s="4"/>
      <c r="D88" s="7"/>
      <c r="E88" s="7"/>
      <c r="F88" s="7"/>
      <c r="G88" s="7"/>
      <c r="H88" s="8" t="str">
        <f t="shared" si="12"/>
        <v/>
      </c>
      <c r="I88" s="8" t="str">
        <f t="shared" si="13"/>
        <v/>
      </c>
      <c r="J88" s="8" t="str">
        <f t="shared" si="14"/>
        <v/>
      </c>
      <c r="K88" s="8" t="str">
        <f t="shared" si="15"/>
        <v/>
      </c>
      <c r="L88" s="10" t="str">
        <f t="shared" si="16"/>
        <v/>
      </c>
      <c r="M88" s="8" t="str">
        <f t="shared" si="17"/>
        <v/>
      </c>
      <c r="N88" s="8" t="str">
        <f>IF($A88="","",SUMIFS('Player Game Log'!$F$4:$F$603,'Player Game Log'!$A$4:$A$603,A88))</f>
        <v/>
      </c>
      <c r="O88" s="8" t="str">
        <f>IF($A88="","",SUMIFS('Player Game Log'!$G$4:$G$603,'Player Game Log'!$A$4:$A$603,A88))</f>
        <v/>
      </c>
      <c r="P88" s="8" t="str">
        <f>IF($A88="","",SUMIFS('Player Game Log'!$H$4:$H$603,'Player Game Log'!$A$4:$A$603,A88))</f>
        <v/>
      </c>
      <c r="Q88" s="8" t="str">
        <f>IF($A88="","",SUMIFS('Player Game Log'!$I$4:$I$603,'Player Game Log'!$A$4:$A$603,A88))</f>
        <v/>
      </c>
      <c r="R88" s="8" t="str">
        <f>IF($A88="","",SUMIFS('Player Game Log'!$R$4:$R$603,'Player Game Log'!$A$4:$A$603,A88))</f>
        <v/>
      </c>
      <c r="S88" s="8" t="str">
        <f>IF($A88="","",SUMIFS('Player Game Log'!$S$4:$S$603,'Player Game Log'!$A$4:$A$603,A88))</f>
        <v/>
      </c>
      <c r="T88" s="8" t="str">
        <f>IF($A88="","",SUMIFS('Player Game Log'!$J$4:$J$603,'Player Game Log'!$A$4:$A$603,A88))</f>
        <v/>
      </c>
      <c r="U88" s="8" t="str">
        <f>IF($A88="","",SUMIFS('Player Game Log'!$K$4:$K$603,'Player Game Log'!$A$4:$A$603,A88))</f>
        <v/>
      </c>
      <c r="V88" s="8" t="str">
        <f>IF($A88="","",SUMIFS('Player Game Log'!$L$4:$L$603,'Player Game Log'!$A$4:$A$603,A88))</f>
        <v/>
      </c>
      <c r="W88" s="8" t="str">
        <f>IF($A88="","",SUMIFS('Player Game Log'!$M$4:$M$603,'Player Game Log'!$A$4:$A$603,A88))</f>
        <v/>
      </c>
      <c r="X88" s="8" t="str">
        <f>IF($A88="","",SUMIFS('Player Game Log'!$N$4:$N$603,'Player Game Log'!$A$4:$A$603,A88))</f>
        <v/>
      </c>
      <c r="Y88" s="8" t="str">
        <f>IF($A88="","",SUMIFS('Player Game Log'!$O$4:$O$603,'Player Game Log'!$A$4:$A$603,A88))</f>
        <v/>
      </c>
      <c r="Z88" s="8" t="str">
        <f>IF($A88="","",SUMIFS('Player Game Log'!$P$4:$P$603,'Player Game Log'!$A$4:$A$603,A88))</f>
        <v/>
      </c>
      <c r="AA88" s="8" t="str">
        <f>IF($A88="","",SUMIFS('Player Game Log'!$Q$4:$Q$603,'Player Game Log'!$A$4:$A$603,A88))</f>
        <v/>
      </c>
      <c r="AB88" s="8" t="str">
        <f>IF($A88="","",COUNTIFS('Player Game Log'!$A$4:$A$603,A88))</f>
        <v/>
      </c>
      <c r="AC88" s="10" t="str">
        <f>IF($A88="","",IF(COUNTIFS('Player Game Log'!$A$4:$A$603,A88)&gt;0,"Yes","No"))</f>
        <v/>
      </c>
    </row>
    <row r="89" spans="1:29" ht="15" customHeight="1">
      <c r="A89" s="4"/>
      <c r="B89" s="15"/>
      <c r="C89" s="4"/>
      <c r="D89" s="7"/>
      <c r="E89" s="7"/>
      <c r="F89" s="7"/>
      <c r="G89" s="7"/>
      <c r="H89" s="8" t="str">
        <f t="shared" si="12"/>
        <v/>
      </c>
      <c r="I89" s="8" t="str">
        <f t="shared" si="13"/>
        <v/>
      </c>
      <c r="J89" s="8" t="str">
        <f t="shared" si="14"/>
        <v/>
      </c>
      <c r="K89" s="8" t="str">
        <f t="shared" si="15"/>
        <v/>
      </c>
      <c r="L89" s="10" t="str">
        <f t="shared" si="16"/>
        <v/>
      </c>
      <c r="M89" s="8" t="str">
        <f t="shared" si="17"/>
        <v/>
      </c>
      <c r="N89" s="8" t="str">
        <f>IF($A89="","",SUMIFS('Player Game Log'!$F$4:$F$603,'Player Game Log'!$A$4:$A$603,A89))</f>
        <v/>
      </c>
      <c r="O89" s="8" t="str">
        <f>IF($A89="","",SUMIFS('Player Game Log'!$G$4:$G$603,'Player Game Log'!$A$4:$A$603,A89))</f>
        <v/>
      </c>
      <c r="P89" s="8" t="str">
        <f>IF($A89="","",SUMIFS('Player Game Log'!$H$4:$H$603,'Player Game Log'!$A$4:$A$603,A89))</f>
        <v/>
      </c>
      <c r="Q89" s="8" t="str">
        <f>IF($A89="","",SUMIFS('Player Game Log'!$I$4:$I$603,'Player Game Log'!$A$4:$A$603,A89))</f>
        <v/>
      </c>
      <c r="R89" s="8" t="str">
        <f>IF($A89="","",SUMIFS('Player Game Log'!$R$4:$R$603,'Player Game Log'!$A$4:$A$603,A89))</f>
        <v/>
      </c>
      <c r="S89" s="8" t="str">
        <f>IF($A89="","",SUMIFS('Player Game Log'!$S$4:$S$603,'Player Game Log'!$A$4:$A$603,A89))</f>
        <v/>
      </c>
      <c r="T89" s="8" t="str">
        <f>IF($A89="","",SUMIFS('Player Game Log'!$J$4:$J$603,'Player Game Log'!$A$4:$A$603,A89))</f>
        <v/>
      </c>
      <c r="U89" s="8" t="str">
        <f>IF($A89="","",SUMIFS('Player Game Log'!$K$4:$K$603,'Player Game Log'!$A$4:$A$603,A89))</f>
        <v/>
      </c>
      <c r="V89" s="8" t="str">
        <f>IF($A89="","",SUMIFS('Player Game Log'!$L$4:$L$603,'Player Game Log'!$A$4:$A$603,A89))</f>
        <v/>
      </c>
      <c r="W89" s="8" t="str">
        <f>IF($A89="","",SUMIFS('Player Game Log'!$M$4:$M$603,'Player Game Log'!$A$4:$A$603,A89))</f>
        <v/>
      </c>
      <c r="X89" s="8" t="str">
        <f>IF($A89="","",SUMIFS('Player Game Log'!$N$4:$N$603,'Player Game Log'!$A$4:$A$603,A89))</f>
        <v/>
      </c>
      <c r="Y89" s="8" t="str">
        <f>IF($A89="","",SUMIFS('Player Game Log'!$O$4:$O$603,'Player Game Log'!$A$4:$A$603,A89))</f>
        <v/>
      </c>
      <c r="Z89" s="8" t="str">
        <f>IF($A89="","",SUMIFS('Player Game Log'!$P$4:$P$603,'Player Game Log'!$A$4:$A$603,A89))</f>
        <v/>
      </c>
      <c r="AA89" s="8" t="str">
        <f>IF($A89="","",SUMIFS('Player Game Log'!$Q$4:$Q$603,'Player Game Log'!$A$4:$A$603,A89))</f>
        <v/>
      </c>
      <c r="AB89" s="8" t="str">
        <f>IF($A89="","",COUNTIFS('Player Game Log'!$A$4:$A$603,A89))</f>
        <v/>
      </c>
      <c r="AC89" s="10" t="str">
        <f>IF($A89="","",IF(COUNTIFS('Player Game Log'!$A$4:$A$603,A89)&gt;0,"Yes","No"))</f>
        <v/>
      </c>
    </row>
    <row r="90" spans="1:29" ht="15" customHeight="1">
      <c r="A90" s="4"/>
      <c r="B90" s="15"/>
      <c r="C90" s="4"/>
      <c r="D90" s="7"/>
      <c r="E90" s="7"/>
      <c r="F90" s="7"/>
      <c r="G90" s="7"/>
      <c r="H90" s="8" t="str">
        <f t="shared" si="12"/>
        <v/>
      </c>
      <c r="I90" s="8" t="str">
        <f t="shared" si="13"/>
        <v/>
      </c>
      <c r="J90" s="8" t="str">
        <f t="shared" si="14"/>
        <v/>
      </c>
      <c r="K90" s="8" t="str">
        <f t="shared" si="15"/>
        <v/>
      </c>
      <c r="L90" s="10" t="str">
        <f t="shared" si="16"/>
        <v/>
      </c>
      <c r="M90" s="8" t="str">
        <f t="shared" si="17"/>
        <v/>
      </c>
      <c r="N90" s="8" t="str">
        <f>IF($A90="","",SUMIFS('Player Game Log'!$F$4:$F$603,'Player Game Log'!$A$4:$A$603,A90))</f>
        <v/>
      </c>
      <c r="O90" s="8" t="str">
        <f>IF($A90="","",SUMIFS('Player Game Log'!$G$4:$G$603,'Player Game Log'!$A$4:$A$603,A90))</f>
        <v/>
      </c>
      <c r="P90" s="8" t="str">
        <f>IF($A90="","",SUMIFS('Player Game Log'!$H$4:$H$603,'Player Game Log'!$A$4:$A$603,A90))</f>
        <v/>
      </c>
      <c r="Q90" s="8" t="str">
        <f>IF($A90="","",SUMIFS('Player Game Log'!$I$4:$I$603,'Player Game Log'!$A$4:$A$603,A90))</f>
        <v/>
      </c>
      <c r="R90" s="8" t="str">
        <f>IF($A90="","",SUMIFS('Player Game Log'!$R$4:$R$603,'Player Game Log'!$A$4:$A$603,A90))</f>
        <v/>
      </c>
      <c r="S90" s="8" t="str">
        <f>IF($A90="","",SUMIFS('Player Game Log'!$S$4:$S$603,'Player Game Log'!$A$4:$A$603,A90))</f>
        <v/>
      </c>
      <c r="T90" s="8" t="str">
        <f>IF($A90="","",SUMIFS('Player Game Log'!$J$4:$J$603,'Player Game Log'!$A$4:$A$603,A90))</f>
        <v/>
      </c>
      <c r="U90" s="8" t="str">
        <f>IF($A90="","",SUMIFS('Player Game Log'!$K$4:$K$603,'Player Game Log'!$A$4:$A$603,A90))</f>
        <v/>
      </c>
      <c r="V90" s="8" t="str">
        <f>IF($A90="","",SUMIFS('Player Game Log'!$L$4:$L$603,'Player Game Log'!$A$4:$A$603,A90))</f>
        <v/>
      </c>
      <c r="W90" s="8" t="str">
        <f>IF($A90="","",SUMIFS('Player Game Log'!$M$4:$M$603,'Player Game Log'!$A$4:$A$603,A90))</f>
        <v/>
      </c>
      <c r="X90" s="8" t="str">
        <f>IF($A90="","",SUMIFS('Player Game Log'!$N$4:$N$603,'Player Game Log'!$A$4:$A$603,A90))</f>
        <v/>
      </c>
      <c r="Y90" s="8" t="str">
        <f>IF($A90="","",SUMIFS('Player Game Log'!$O$4:$O$603,'Player Game Log'!$A$4:$A$603,A90))</f>
        <v/>
      </c>
      <c r="Z90" s="8" t="str">
        <f>IF($A90="","",SUMIFS('Player Game Log'!$P$4:$P$603,'Player Game Log'!$A$4:$A$603,A90))</f>
        <v/>
      </c>
      <c r="AA90" s="8" t="str">
        <f>IF($A90="","",SUMIFS('Player Game Log'!$Q$4:$Q$603,'Player Game Log'!$A$4:$A$603,A90))</f>
        <v/>
      </c>
      <c r="AB90" s="8" t="str">
        <f>IF($A90="","",COUNTIFS('Player Game Log'!$A$4:$A$603,A90))</f>
        <v/>
      </c>
      <c r="AC90" s="10" t="str">
        <f>IF($A90="","",IF(COUNTIFS('Player Game Log'!$A$4:$A$603,A90)&gt;0,"Yes","No"))</f>
        <v/>
      </c>
    </row>
    <row r="91" spans="1:29" ht="15" customHeight="1">
      <c r="A91" s="4"/>
      <c r="B91" s="15"/>
      <c r="C91" s="4"/>
      <c r="D91" s="7"/>
      <c r="E91" s="7"/>
      <c r="F91" s="7"/>
      <c r="G91" s="7"/>
      <c r="H91" s="8" t="str">
        <f t="shared" si="12"/>
        <v/>
      </c>
      <c r="I91" s="8" t="str">
        <f t="shared" si="13"/>
        <v/>
      </c>
      <c r="J91" s="8" t="str">
        <f t="shared" si="14"/>
        <v/>
      </c>
      <c r="K91" s="8" t="str">
        <f t="shared" si="15"/>
        <v/>
      </c>
      <c r="L91" s="10" t="str">
        <f t="shared" si="16"/>
        <v/>
      </c>
      <c r="M91" s="8" t="str">
        <f t="shared" si="17"/>
        <v/>
      </c>
      <c r="N91" s="8" t="str">
        <f>IF($A91="","",SUMIFS('Player Game Log'!$F$4:$F$603,'Player Game Log'!$A$4:$A$603,A91))</f>
        <v/>
      </c>
      <c r="O91" s="8" t="str">
        <f>IF($A91="","",SUMIFS('Player Game Log'!$G$4:$G$603,'Player Game Log'!$A$4:$A$603,A91))</f>
        <v/>
      </c>
      <c r="P91" s="8" t="str">
        <f>IF($A91="","",SUMIFS('Player Game Log'!$H$4:$H$603,'Player Game Log'!$A$4:$A$603,A91))</f>
        <v/>
      </c>
      <c r="Q91" s="8" t="str">
        <f>IF($A91="","",SUMIFS('Player Game Log'!$I$4:$I$603,'Player Game Log'!$A$4:$A$603,A91))</f>
        <v/>
      </c>
      <c r="R91" s="8" t="str">
        <f>IF($A91="","",SUMIFS('Player Game Log'!$R$4:$R$603,'Player Game Log'!$A$4:$A$603,A91))</f>
        <v/>
      </c>
      <c r="S91" s="8" t="str">
        <f>IF($A91="","",SUMIFS('Player Game Log'!$S$4:$S$603,'Player Game Log'!$A$4:$A$603,A91))</f>
        <v/>
      </c>
      <c r="T91" s="8" t="str">
        <f>IF($A91="","",SUMIFS('Player Game Log'!$J$4:$J$603,'Player Game Log'!$A$4:$A$603,A91))</f>
        <v/>
      </c>
      <c r="U91" s="8" t="str">
        <f>IF($A91="","",SUMIFS('Player Game Log'!$K$4:$K$603,'Player Game Log'!$A$4:$A$603,A91))</f>
        <v/>
      </c>
      <c r="V91" s="8" t="str">
        <f>IF($A91="","",SUMIFS('Player Game Log'!$L$4:$L$603,'Player Game Log'!$A$4:$A$603,A91))</f>
        <v/>
      </c>
      <c r="W91" s="8" t="str">
        <f>IF($A91="","",SUMIFS('Player Game Log'!$M$4:$M$603,'Player Game Log'!$A$4:$A$603,A91))</f>
        <v/>
      </c>
      <c r="X91" s="8" t="str">
        <f>IF($A91="","",SUMIFS('Player Game Log'!$N$4:$N$603,'Player Game Log'!$A$4:$A$603,A91))</f>
        <v/>
      </c>
      <c r="Y91" s="8" t="str">
        <f>IF($A91="","",SUMIFS('Player Game Log'!$O$4:$O$603,'Player Game Log'!$A$4:$A$603,A91))</f>
        <v/>
      </c>
      <c r="Z91" s="8" t="str">
        <f>IF($A91="","",SUMIFS('Player Game Log'!$P$4:$P$603,'Player Game Log'!$A$4:$A$603,A91))</f>
        <v/>
      </c>
      <c r="AA91" s="8" t="str">
        <f>IF($A91="","",SUMIFS('Player Game Log'!$Q$4:$Q$603,'Player Game Log'!$A$4:$A$603,A91))</f>
        <v/>
      </c>
      <c r="AB91" s="8" t="str">
        <f>IF($A91="","",COUNTIFS('Player Game Log'!$A$4:$A$603,A91))</f>
        <v/>
      </c>
      <c r="AC91" s="10" t="str">
        <f>IF($A91="","",IF(COUNTIFS('Player Game Log'!$A$4:$A$603,A91)&gt;0,"Yes","No"))</f>
        <v/>
      </c>
    </row>
    <row r="92" spans="1:29" ht="15" customHeight="1">
      <c r="A92" s="4"/>
      <c r="B92" s="15"/>
      <c r="C92" s="4"/>
      <c r="D92" s="7"/>
      <c r="E92" s="7"/>
      <c r="F92" s="7"/>
      <c r="G92" s="7"/>
      <c r="H92" s="8" t="str">
        <f t="shared" si="12"/>
        <v/>
      </c>
      <c r="I92" s="8" t="str">
        <f t="shared" si="13"/>
        <v/>
      </c>
      <c r="J92" s="8" t="str">
        <f t="shared" si="14"/>
        <v/>
      </c>
      <c r="K92" s="8" t="str">
        <f t="shared" si="15"/>
        <v/>
      </c>
      <c r="L92" s="10" t="str">
        <f t="shared" si="16"/>
        <v/>
      </c>
      <c r="M92" s="8" t="str">
        <f t="shared" si="17"/>
        <v/>
      </c>
      <c r="N92" s="8" t="str">
        <f>IF($A92="","",SUMIFS('Player Game Log'!$F$4:$F$603,'Player Game Log'!$A$4:$A$603,A92))</f>
        <v/>
      </c>
      <c r="O92" s="8" t="str">
        <f>IF($A92="","",SUMIFS('Player Game Log'!$G$4:$G$603,'Player Game Log'!$A$4:$A$603,A92))</f>
        <v/>
      </c>
      <c r="P92" s="8" t="str">
        <f>IF($A92="","",SUMIFS('Player Game Log'!$H$4:$H$603,'Player Game Log'!$A$4:$A$603,A92))</f>
        <v/>
      </c>
      <c r="Q92" s="8" t="str">
        <f>IF($A92="","",SUMIFS('Player Game Log'!$I$4:$I$603,'Player Game Log'!$A$4:$A$603,A92))</f>
        <v/>
      </c>
      <c r="R92" s="8" t="str">
        <f>IF($A92="","",SUMIFS('Player Game Log'!$R$4:$R$603,'Player Game Log'!$A$4:$A$603,A92))</f>
        <v/>
      </c>
      <c r="S92" s="8" t="str">
        <f>IF($A92="","",SUMIFS('Player Game Log'!$S$4:$S$603,'Player Game Log'!$A$4:$A$603,A92))</f>
        <v/>
      </c>
      <c r="T92" s="8" t="str">
        <f>IF($A92="","",SUMIFS('Player Game Log'!$J$4:$J$603,'Player Game Log'!$A$4:$A$603,A92))</f>
        <v/>
      </c>
      <c r="U92" s="8" t="str">
        <f>IF($A92="","",SUMIFS('Player Game Log'!$K$4:$K$603,'Player Game Log'!$A$4:$A$603,A92))</f>
        <v/>
      </c>
      <c r="V92" s="8" t="str">
        <f>IF($A92="","",SUMIFS('Player Game Log'!$L$4:$L$603,'Player Game Log'!$A$4:$A$603,A92))</f>
        <v/>
      </c>
      <c r="W92" s="8" t="str">
        <f>IF($A92="","",SUMIFS('Player Game Log'!$M$4:$M$603,'Player Game Log'!$A$4:$A$603,A92))</f>
        <v/>
      </c>
      <c r="X92" s="8" t="str">
        <f>IF($A92="","",SUMIFS('Player Game Log'!$N$4:$N$603,'Player Game Log'!$A$4:$A$603,A92))</f>
        <v/>
      </c>
      <c r="Y92" s="8" t="str">
        <f>IF($A92="","",SUMIFS('Player Game Log'!$O$4:$O$603,'Player Game Log'!$A$4:$A$603,A92))</f>
        <v/>
      </c>
      <c r="Z92" s="8" t="str">
        <f>IF($A92="","",SUMIFS('Player Game Log'!$P$4:$P$603,'Player Game Log'!$A$4:$A$603,A92))</f>
        <v/>
      </c>
      <c r="AA92" s="8" t="str">
        <f>IF($A92="","",SUMIFS('Player Game Log'!$Q$4:$Q$603,'Player Game Log'!$A$4:$A$603,A92))</f>
        <v/>
      </c>
      <c r="AB92" s="8" t="str">
        <f>IF($A92="","",COUNTIFS('Player Game Log'!$A$4:$A$603,A92))</f>
        <v/>
      </c>
      <c r="AC92" s="10" t="str">
        <f>IF($A92="","",IF(COUNTIFS('Player Game Log'!$A$4:$A$603,A92)&gt;0,"Yes","No"))</f>
        <v/>
      </c>
    </row>
    <row r="93" spans="1:29" ht="15" customHeight="1">
      <c r="A93" s="4"/>
      <c r="B93" s="15"/>
      <c r="C93" s="4"/>
      <c r="D93" s="7"/>
      <c r="E93" s="7"/>
      <c r="F93" s="7"/>
      <c r="G93" s="7"/>
      <c r="H93" s="8" t="str">
        <f t="shared" si="12"/>
        <v/>
      </c>
      <c r="I93" s="8" t="str">
        <f t="shared" si="13"/>
        <v/>
      </c>
      <c r="J93" s="8" t="str">
        <f t="shared" si="14"/>
        <v/>
      </c>
      <c r="K93" s="8" t="str">
        <f t="shared" si="15"/>
        <v/>
      </c>
      <c r="L93" s="10" t="str">
        <f t="shared" si="16"/>
        <v/>
      </c>
      <c r="M93" s="8" t="str">
        <f t="shared" si="17"/>
        <v/>
      </c>
      <c r="N93" s="8" t="str">
        <f>IF($A93="","",SUMIFS('Player Game Log'!$F$4:$F$603,'Player Game Log'!$A$4:$A$603,A93))</f>
        <v/>
      </c>
      <c r="O93" s="8" t="str">
        <f>IF($A93="","",SUMIFS('Player Game Log'!$G$4:$G$603,'Player Game Log'!$A$4:$A$603,A93))</f>
        <v/>
      </c>
      <c r="P93" s="8" t="str">
        <f>IF($A93="","",SUMIFS('Player Game Log'!$H$4:$H$603,'Player Game Log'!$A$4:$A$603,A93))</f>
        <v/>
      </c>
      <c r="Q93" s="8" t="str">
        <f>IF($A93="","",SUMIFS('Player Game Log'!$I$4:$I$603,'Player Game Log'!$A$4:$A$603,A93))</f>
        <v/>
      </c>
      <c r="R93" s="8" t="str">
        <f>IF($A93="","",SUMIFS('Player Game Log'!$R$4:$R$603,'Player Game Log'!$A$4:$A$603,A93))</f>
        <v/>
      </c>
      <c r="S93" s="8" t="str">
        <f>IF($A93="","",SUMIFS('Player Game Log'!$S$4:$S$603,'Player Game Log'!$A$4:$A$603,A93))</f>
        <v/>
      </c>
      <c r="T93" s="8" t="str">
        <f>IF($A93="","",SUMIFS('Player Game Log'!$J$4:$J$603,'Player Game Log'!$A$4:$A$603,A93))</f>
        <v/>
      </c>
      <c r="U93" s="8" t="str">
        <f>IF($A93="","",SUMIFS('Player Game Log'!$K$4:$K$603,'Player Game Log'!$A$4:$A$603,A93))</f>
        <v/>
      </c>
      <c r="V93" s="8" t="str">
        <f>IF($A93="","",SUMIFS('Player Game Log'!$L$4:$L$603,'Player Game Log'!$A$4:$A$603,A93))</f>
        <v/>
      </c>
      <c r="W93" s="8" t="str">
        <f>IF($A93="","",SUMIFS('Player Game Log'!$M$4:$M$603,'Player Game Log'!$A$4:$A$603,A93))</f>
        <v/>
      </c>
      <c r="X93" s="8" t="str">
        <f>IF($A93="","",SUMIFS('Player Game Log'!$N$4:$N$603,'Player Game Log'!$A$4:$A$603,A93))</f>
        <v/>
      </c>
      <c r="Y93" s="8" t="str">
        <f>IF($A93="","",SUMIFS('Player Game Log'!$O$4:$O$603,'Player Game Log'!$A$4:$A$603,A93))</f>
        <v/>
      </c>
      <c r="Z93" s="8" t="str">
        <f>IF($A93="","",SUMIFS('Player Game Log'!$P$4:$P$603,'Player Game Log'!$A$4:$A$603,A93))</f>
        <v/>
      </c>
      <c r="AA93" s="8" t="str">
        <f>IF($A93="","",SUMIFS('Player Game Log'!$Q$4:$Q$603,'Player Game Log'!$A$4:$A$603,A93))</f>
        <v/>
      </c>
      <c r="AB93" s="8" t="str">
        <f>IF($A93="","",COUNTIFS('Player Game Log'!$A$4:$A$603,A93))</f>
        <v/>
      </c>
      <c r="AC93" s="10" t="str">
        <f>IF($A93="","",IF(COUNTIFS('Player Game Log'!$A$4:$A$603,A93)&gt;0,"Yes","No"))</f>
        <v/>
      </c>
    </row>
    <row r="94" spans="1:29" ht="15" customHeight="1">
      <c r="A94" s="4"/>
      <c r="B94" s="15"/>
      <c r="C94" s="4"/>
      <c r="D94" s="7"/>
      <c r="E94" s="7"/>
      <c r="F94" s="7"/>
      <c r="G94" s="7"/>
      <c r="H94" s="8" t="str">
        <f t="shared" si="12"/>
        <v/>
      </c>
      <c r="I94" s="8" t="str">
        <f t="shared" si="13"/>
        <v/>
      </c>
      <c r="J94" s="8" t="str">
        <f t="shared" si="14"/>
        <v/>
      </c>
      <c r="K94" s="8" t="str">
        <f t="shared" si="15"/>
        <v/>
      </c>
      <c r="L94" s="10" t="str">
        <f t="shared" si="16"/>
        <v/>
      </c>
      <c r="M94" s="8" t="str">
        <f t="shared" si="17"/>
        <v/>
      </c>
      <c r="N94" s="8" t="str">
        <f>IF($A94="","",SUMIFS('Player Game Log'!$F$4:$F$603,'Player Game Log'!$A$4:$A$603,A94))</f>
        <v/>
      </c>
      <c r="O94" s="8" t="str">
        <f>IF($A94="","",SUMIFS('Player Game Log'!$G$4:$G$603,'Player Game Log'!$A$4:$A$603,A94))</f>
        <v/>
      </c>
      <c r="P94" s="8" t="str">
        <f>IF($A94="","",SUMIFS('Player Game Log'!$H$4:$H$603,'Player Game Log'!$A$4:$A$603,A94))</f>
        <v/>
      </c>
      <c r="Q94" s="8" t="str">
        <f>IF($A94="","",SUMIFS('Player Game Log'!$I$4:$I$603,'Player Game Log'!$A$4:$A$603,A94))</f>
        <v/>
      </c>
      <c r="R94" s="8" t="str">
        <f>IF($A94="","",SUMIFS('Player Game Log'!$R$4:$R$603,'Player Game Log'!$A$4:$A$603,A94))</f>
        <v/>
      </c>
      <c r="S94" s="8" t="str">
        <f>IF($A94="","",SUMIFS('Player Game Log'!$S$4:$S$603,'Player Game Log'!$A$4:$A$603,A94))</f>
        <v/>
      </c>
      <c r="T94" s="8" t="str">
        <f>IF($A94="","",SUMIFS('Player Game Log'!$J$4:$J$603,'Player Game Log'!$A$4:$A$603,A94))</f>
        <v/>
      </c>
      <c r="U94" s="8" t="str">
        <f>IF($A94="","",SUMIFS('Player Game Log'!$K$4:$K$603,'Player Game Log'!$A$4:$A$603,A94))</f>
        <v/>
      </c>
      <c r="V94" s="8" t="str">
        <f>IF($A94="","",SUMIFS('Player Game Log'!$L$4:$L$603,'Player Game Log'!$A$4:$A$603,A94))</f>
        <v/>
      </c>
      <c r="W94" s="8" t="str">
        <f>IF($A94="","",SUMIFS('Player Game Log'!$M$4:$M$603,'Player Game Log'!$A$4:$A$603,A94))</f>
        <v/>
      </c>
      <c r="X94" s="8" t="str">
        <f>IF($A94="","",SUMIFS('Player Game Log'!$N$4:$N$603,'Player Game Log'!$A$4:$A$603,A94))</f>
        <v/>
      </c>
      <c r="Y94" s="8" t="str">
        <f>IF($A94="","",SUMIFS('Player Game Log'!$O$4:$O$603,'Player Game Log'!$A$4:$A$603,A94))</f>
        <v/>
      </c>
      <c r="Z94" s="8" t="str">
        <f>IF($A94="","",SUMIFS('Player Game Log'!$P$4:$P$603,'Player Game Log'!$A$4:$A$603,A94))</f>
        <v/>
      </c>
      <c r="AA94" s="8" t="str">
        <f>IF($A94="","",SUMIFS('Player Game Log'!$Q$4:$Q$603,'Player Game Log'!$A$4:$A$603,A94))</f>
        <v/>
      </c>
      <c r="AB94" s="8" t="str">
        <f>IF($A94="","",COUNTIFS('Player Game Log'!$A$4:$A$603,A94))</f>
        <v/>
      </c>
      <c r="AC94" s="10" t="str">
        <f>IF($A94="","",IF(COUNTIFS('Player Game Log'!$A$4:$A$603,A94)&gt;0,"Yes","No"))</f>
        <v/>
      </c>
    </row>
    <row r="95" spans="1:29" ht="15" customHeight="1">
      <c r="A95" s="4"/>
      <c r="B95" s="15"/>
      <c r="C95" s="4"/>
      <c r="D95" s="7"/>
      <c r="E95" s="7"/>
      <c r="F95" s="7"/>
      <c r="G95" s="7"/>
      <c r="H95" s="8" t="str">
        <f t="shared" si="12"/>
        <v/>
      </c>
      <c r="I95" s="8" t="str">
        <f t="shared" si="13"/>
        <v/>
      </c>
      <c r="J95" s="8" t="str">
        <f t="shared" si="14"/>
        <v/>
      </c>
      <c r="K95" s="8" t="str">
        <f t="shared" si="15"/>
        <v/>
      </c>
      <c r="L95" s="10" t="str">
        <f t="shared" si="16"/>
        <v/>
      </c>
      <c r="M95" s="8" t="str">
        <f t="shared" si="17"/>
        <v/>
      </c>
      <c r="N95" s="8" t="str">
        <f>IF($A95="","",SUMIFS('Player Game Log'!$F$4:$F$603,'Player Game Log'!$A$4:$A$603,A95))</f>
        <v/>
      </c>
      <c r="O95" s="8" t="str">
        <f>IF($A95="","",SUMIFS('Player Game Log'!$G$4:$G$603,'Player Game Log'!$A$4:$A$603,A95))</f>
        <v/>
      </c>
      <c r="P95" s="8" t="str">
        <f>IF($A95="","",SUMIFS('Player Game Log'!$H$4:$H$603,'Player Game Log'!$A$4:$A$603,A95))</f>
        <v/>
      </c>
      <c r="Q95" s="8" t="str">
        <f>IF($A95="","",SUMIFS('Player Game Log'!$I$4:$I$603,'Player Game Log'!$A$4:$A$603,A95))</f>
        <v/>
      </c>
      <c r="R95" s="8" t="str">
        <f>IF($A95="","",SUMIFS('Player Game Log'!$R$4:$R$603,'Player Game Log'!$A$4:$A$603,A95))</f>
        <v/>
      </c>
      <c r="S95" s="8" t="str">
        <f>IF($A95="","",SUMIFS('Player Game Log'!$S$4:$S$603,'Player Game Log'!$A$4:$A$603,A95))</f>
        <v/>
      </c>
      <c r="T95" s="8" t="str">
        <f>IF($A95="","",SUMIFS('Player Game Log'!$J$4:$J$603,'Player Game Log'!$A$4:$A$603,A95))</f>
        <v/>
      </c>
      <c r="U95" s="8" t="str">
        <f>IF($A95="","",SUMIFS('Player Game Log'!$K$4:$K$603,'Player Game Log'!$A$4:$A$603,A95))</f>
        <v/>
      </c>
      <c r="V95" s="8" t="str">
        <f>IF($A95="","",SUMIFS('Player Game Log'!$L$4:$L$603,'Player Game Log'!$A$4:$A$603,A95))</f>
        <v/>
      </c>
      <c r="W95" s="8" t="str">
        <f>IF($A95="","",SUMIFS('Player Game Log'!$M$4:$M$603,'Player Game Log'!$A$4:$A$603,A95))</f>
        <v/>
      </c>
      <c r="X95" s="8" t="str">
        <f>IF($A95="","",SUMIFS('Player Game Log'!$N$4:$N$603,'Player Game Log'!$A$4:$A$603,A95))</f>
        <v/>
      </c>
      <c r="Y95" s="8" t="str">
        <f>IF($A95="","",SUMIFS('Player Game Log'!$O$4:$O$603,'Player Game Log'!$A$4:$A$603,A95))</f>
        <v/>
      </c>
      <c r="Z95" s="8" t="str">
        <f>IF($A95="","",SUMIFS('Player Game Log'!$P$4:$P$603,'Player Game Log'!$A$4:$A$603,A95))</f>
        <v/>
      </c>
      <c r="AA95" s="8" t="str">
        <f>IF($A95="","",SUMIFS('Player Game Log'!$Q$4:$Q$603,'Player Game Log'!$A$4:$A$603,A95))</f>
        <v/>
      </c>
      <c r="AB95" s="8" t="str">
        <f>IF($A95="","",COUNTIFS('Player Game Log'!$A$4:$A$603,A95))</f>
        <v/>
      </c>
      <c r="AC95" s="10" t="str">
        <f>IF($A95="","",IF(COUNTIFS('Player Game Log'!$A$4:$A$603,A95)&gt;0,"Yes","No"))</f>
        <v/>
      </c>
    </row>
    <row r="96" spans="1:29" ht="15" customHeight="1">
      <c r="A96" s="4"/>
      <c r="B96" s="15"/>
      <c r="C96" s="4"/>
      <c r="D96" s="7"/>
      <c r="E96" s="7"/>
      <c r="F96" s="7"/>
      <c r="G96" s="7"/>
      <c r="H96" s="8" t="str">
        <f t="shared" si="12"/>
        <v/>
      </c>
      <c r="I96" s="8" t="str">
        <f t="shared" si="13"/>
        <v/>
      </c>
      <c r="J96" s="8" t="str">
        <f t="shared" si="14"/>
        <v/>
      </c>
      <c r="K96" s="8" t="str">
        <f t="shared" si="15"/>
        <v/>
      </c>
      <c r="L96" s="10" t="str">
        <f t="shared" si="16"/>
        <v/>
      </c>
      <c r="M96" s="8" t="str">
        <f t="shared" si="17"/>
        <v/>
      </c>
      <c r="N96" s="8" t="str">
        <f>IF($A96="","",SUMIFS('Player Game Log'!$F$4:$F$603,'Player Game Log'!$A$4:$A$603,A96))</f>
        <v/>
      </c>
      <c r="O96" s="8" t="str">
        <f>IF($A96="","",SUMIFS('Player Game Log'!$G$4:$G$603,'Player Game Log'!$A$4:$A$603,A96))</f>
        <v/>
      </c>
      <c r="P96" s="8" t="str">
        <f>IF($A96="","",SUMIFS('Player Game Log'!$H$4:$H$603,'Player Game Log'!$A$4:$A$603,A96))</f>
        <v/>
      </c>
      <c r="Q96" s="8" t="str">
        <f>IF($A96="","",SUMIFS('Player Game Log'!$I$4:$I$603,'Player Game Log'!$A$4:$A$603,A96))</f>
        <v/>
      </c>
      <c r="R96" s="8" t="str">
        <f>IF($A96="","",SUMIFS('Player Game Log'!$R$4:$R$603,'Player Game Log'!$A$4:$A$603,A96))</f>
        <v/>
      </c>
      <c r="S96" s="8" t="str">
        <f>IF($A96="","",SUMIFS('Player Game Log'!$S$4:$S$603,'Player Game Log'!$A$4:$A$603,A96))</f>
        <v/>
      </c>
      <c r="T96" s="8" t="str">
        <f>IF($A96="","",SUMIFS('Player Game Log'!$J$4:$J$603,'Player Game Log'!$A$4:$A$603,A96))</f>
        <v/>
      </c>
      <c r="U96" s="8" t="str">
        <f>IF($A96="","",SUMIFS('Player Game Log'!$K$4:$K$603,'Player Game Log'!$A$4:$A$603,A96))</f>
        <v/>
      </c>
      <c r="V96" s="8" t="str">
        <f>IF($A96="","",SUMIFS('Player Game Log'!$L$4:$L$603,'Player Game Log'!$A$4:$A$603,A96))</f>
        <v/>
      </c>
      <c r="W96" s="8" t="str">
        <f>IF($A96="","",SUMIFS('Player Game Log'!$M$4:$M$603,'Player Game Log'!$A$4:$A$603,A96))</f>
        <v/>
      </c>
      <c r="X96" s="8" t="str">
        <f>IF($A96="","",SUMIFS('Player Game Log'!$N$4:$N$603,'Player Game Log'!$A$4:$A$603,A96))</f>
        <v/>
      </c>
      <c r="Y96" s="8" t="str">
        <f>IF($A96="","",SUMIFS('Player Game Log'!$O$4:$O$603,'Player Game Log'!$A$4:$A$603,A96))</f>
        <v/>
      </c>
      <c r="Z96" s="8" t="str">
        <f>IF($A96="","",SUMIFS('Player Game Log'!$P$4:$P$603,'Player Game Log'!$A$4:$A$603,A96))</f>
        <v/>
      </c>
      <c r="AA96" s="8" t="str">
        <f>IF($A96="","",SUMIFS('Player Game Log'!$Q$4:$Q$603,'Player Game Log'!$A$4:$A$603,A96))</f>
        <v/>
      </c>
      <c r="AB96" s="8" t="str">
        <f>IF($A96="","",COUNTIFS('Player Game Log'!$A$4:$A$603,A96))</f>
        <v/>
      </c>
      <c r="AC96" s="10" t="str">
        <f>IF($A96="","",IF(COUNTIFS('Player Game Log'!$A$4:$A$603,A96)&gt;0,"Yes","No"))</f>
        <v/>
      </c>
    </row>
    <row r="97" spans="1:29" ht="15" customHeight="1">
      <c r="A97" s="4"/>
      <c r="B97" s="15"/>
      <c r="C97" s="4"/>
      <c r="D97" s="7"/>
      <c r="E97" s="7"/>
      <c r="F97" s="7"/>
      <c r="G97" s="7"/>
      <c r="H97" s="8" t="str">
        <f t="shared" si="12"/>
        <v/>
      </c>
      <c r="I97" s="8" t="str">
        <f t="shared" si="13"/>
        <v/>
      </c>
      <c r="J97" s="8" t="str">
        <f t="shared" si="14"/>
        <v/>
      </c>
      <c r="K97" s="8" t="str">
        <f t="shared" si="15"/>
        <v/>
      </c>
      <c r="L97" s="10" t="str">
        <f t="shared" si="16"/>
        <v/>
      </c>
      <c r="M97" s="8" t="str">
        <f t="shared" si="17"/>
        <v/>
      </c>
      <c r="N97" s="8" t="str">
        <f>IF($A97="","",SUMIFS('Player Game Log'!$F$4:$F$603,'Player Game Log'!$A$4:$A$603,A97))</f>
        <v/>
      </c>
      <c r="O97" s="8" t="str">
        <f>IF($A97="","",SUMIFS('Player Game Log'!$G$4:$G$603,'Player Game Log'!$A$4:$A$603,A97))</f>
        <v/>
      </c>
      <c r="P97" s="8" t="str">
        <f>IF($A97="","",SUMIFS('Player Game Log'!$H$4:$H$603,'Player Game Log'!$A$4:$A$603,A97))</f>
        <v/>
      </c>
      <c r="Q97" s="8" t="str">
        <f>IF($A97="","",SUMIFS('Player Game Log'!$I$4:$I$603,'Player Game Log'!$A$4:$A$603,A97))</f>
        <v/>
      </c>
      <c r="R97" s="8" t="str">
        <f>IF($A97="","",SUMIFS('Player Game Log'!$R$4:$R$603,'Player Game Log'!$A$4:$A$603,A97))</f>
        <v/>
      </c>
      <c r="S97" s="8" t="str">
        <f>IF($A97="","",SUMIFS('Player Game Log'!$S$4:$S$603,'Player Game Log'!$A$4:$A$603,A97))</f>
        <v/>
      </c>
      <c r="T97" s="8" t="str">
        <f>IF($A97="","",SUMIFS('Player Game Log'!$J$4:$J$603,'Player Game Log'!$A$4:$A$603,A97))</f>
        <v/>
      </c>
      <c r="U97" s="8" t="str">
        <f>IF($A97="","",SUMIFS('Player Game Log'!$K$4:$K$603,'Player Game Log'!$A$4:$A$603,A97))</f>
        <v/>
      </c>
      <c r="V97" s="8" t="str">
        <f>IF($A97="","",SUMIFS('Player Game Log'!$L$4:$L$603,'Player Game Log'!$A$4:$A$603,A97))</f>
        <v/>
      </c>
      <c r="W97" s="8" t="str">
        <f>IF($A97="","",SUMIFS('Player Game Log'!$M$4:$M$603,'Player Game Log'!$A$4:$A$603,A97))</f>
        <v/>
      </c>
      <c r="X97" s="8" t="str">
        <f>IF($A97="","",SUMIFS('Player Game Log'!$N$4:$N$603,'Player Game Log'!$A$4:$A$603,A97))</f>
        <v/>
      </c>
      <c r="Y97" s="8" t="str">
        <f>IF($A97="","",SUMIFS('Player Game Log'!$O$4:$O$603,'Player Game Log'!$A$4:$A$603,A97))</f>
        <v/>
      </c>
      <c r="Z97" s="8" t="str">
        <f>IF($A97="","",SUMIFS('Player Game Log'!$P$4:$P$603,'Player Game Log'!$A$4:$A$603,A97))</f>
        <v/>
      </c>
      <c r="AA97" s="8" t="str">
        <f>IF($A97="","",SUMIFS('Player Game Log'!$Q$4:$Q$603,'Player Game Log'!$A$4:$A$603,A97))</f>
        <v/>
      </c>
      <c r="AB97" s="8" t="str">
        <f>IF($A97="","",COUNTIFS('Player Game Log'!$A$4:$A$603,A97))</f>
        <v/>
      </c>
      <c r="AC97" s="10" t="str">
        <f>IF($A97="","",IF(COUNTIFS('Player Game Log'!$A$4:$A$603,A97)&gt;0,"Yes","No"))</f>
        <v/>
      </c>
    </row>
    <row r="98" spans="1:29" ht="15" customHeight="1">
      <c r="A98" s="4"/>
      <c r="B98" s="15"/>
      <c r="C98" s="4"/>
      <c r="D98" s="7"/>
      <c r="E98" s="7"/>
      <c r="F98" s="7"/>
      <c r="G98" s="7"/>
      <c r="H98" s="8" t="str">
        <f t="shared" si="12"/>
        <v/>
      </c>
      <c r="I98" s="8" t="str">
        <f t="shared" si="13"/>
        <v/>
      </c>
      <c r="J98" s="8" t="str">
        <f t="shared" si="14"/>
        <v/>
      </c>
      <c r="K98" s="8" t="str">
        <f t="shared" si="15"/>
        <v/>
      </c>
      <c r="L98" s="10" t="str">
        <f t="shared" si="16"/>
        <v/>
      </c>
      <c r="M98" s="8" t="str">
        <f t="shared" si="17"/>
        <v/>
      </c>
      <c r="N98" s="8" t="str">
        <f>IF($A98="","",SUMIFS('Player Game Log'!$F$4:$F$603,'Player Game Log'!$A$4:$A$603,A98))</f>
        <v/>
      </c>
      <c r="O98" s="8" t="str">
        <f>IF($A98="","",SUMIFS('Player Game Log'!$G$4:$G$603,'Player Game Log'!$A$4:$A$603,A98))</f>
        <v/>
      </c>
      <c r="P98" s="8" t="str">
        <f>IF($A98="","",SUMIFS('Player Game Log'!$H$4:$H$603,'Player Game Log'!$A$4:$A$603,A98))</f>
        <v/>
      </c>
      <c r="Q98" s="8" t="str">
        <f>IF($A98="","",SUMIFS('Player Game Log'!$I$4:$I$603,'Player Game Log'!$A$4:$A$603,A98))</f>
        <v/>
      </c>
      <c r="R98" s="8" t="str">
        <f>IF($A98="","",SUMIFS('Player Game Log'!$R$4:$R$603,'Player Game Log'!$A$4:$A$603,A98))</f>
        <v/>
      </c>
      <c r="S98" s="8" t="str">
        <f>IF($A98="","",SUMIFS('Player Game Log'!$S$4:$S$603,'Player Game Log'!$A$4:$A$603,A98))</f>
        <v/>
      </c>
      <c r="T98" s="8" t="str">
        <f>IF($A98="","",SUMIFS('Player Game Log'!$J$4:$J$603,'Player Game Log'!$A$4:$A$603,A98))</f>
        <v/>
      </c>
      <c r="U98" s="8" t="str">
        <f>IF($A98="","",SUMIFS('Player Game Log'!$K$4:$K$603,'Player Game Log'!$A$4:$A$603,A98))</f>
        <v/>
      </c>
      <c r="V98" s="8" t="str">
        <f>IF($A98="","",SUMIFS('Player Game Log'!$L$4:$L$603,'Player Game Log'!$A$4:$A$603,A98))</f>
        <v/>
      </c>
      <c r="W98" s="8" t="str">
        <f>IF($A98="","",SUMIFS('Player Game Log'!$M$4:$M$603,'Player Game Log'!$A$4:$A$603,A98))</f>
        <v/>
      </c>
      <c r="X98" s="8" t="str">
        <f>IF($A98="","",SUMIFS('Player Game Log'!$N$4:$N$603,'Player Game Log'!$A$4:$A$603,A98))</f>
        <v/>
      </c>
      <c r="Y98" s="8" t="str">
        <f>IF($A98="","",SUMIFS('Player Game Log'!$O$4:$O$603,'Player Game Log'!$A$4:$A$603,A98))</f>
        <v/>
      </c>
      <c r="Z98" s="8" t="str">
        <f>IF($A98="","",SUMIFS('Player Game Log'!$P$4:$P$603,'Player Game Log'!$A$4:$A$603,A98))</f>
        <v/>
      </c>
      <c r="AA98" s="8" t="str">
        <f>IF($A98="","",SUMIFS('Player Game Log'!$Q$4:$Q$603,'Player Game Log'!$A$4:$A$603,A98))</f>
        <v/>
      </c>
      <c r="AB98" s="8" t="str">
        <f>IF($A98="","",COUNTIFS('Player Game Log'!$A$4:$A$603,A98))</f>
        <v/>
      </c>
      <c r="AC98" s="10" t="str">
        <f>IF($A98="","",IF(COUNTIFS('Player Game Log'!$A$4:$A$603,A98)&gt;0,"Yes","No"))</f>
        <v/>
      </c>
    </row>
    <row r="99" spans="1:29" ht="15" customHeight="1">
      <c r="A99" s="4"/>
      <c r="B99" s="15"/>
      <c r="C99" s="4"/>
      <c r="D99" s="7"/>
      <c r="E99" s="7"/>
      <c r="F99" s="7"/>
      <c r="G99" s="7"/>
      <c r="H99" s="8" t="str">
        <f t="shared" si="12"/>
        <v/>
      </c>
      <c r="I99" s="8" t="str">
        <f t="shared" si="13"/>
        <v/>
      </c>
      <c r="J99" s="8" t="str">
        <f t="shared" si="14"/>
        <v/>
      </c>
      <c r="K99" s="8" t="str">
        <f t="shared" si="15"/>
        <v/>
      </c>
      <c r="L99" s="10" t="str">
        <f t="shared" si="16"/>
        <v/>
      </c>
      <c r="M99" s="8" t="str">
        <f t="shared" si="17"/>
        <v/>
      </c>
      <c r="N99" s="8" t="str">
        <f>IF($A99="","",SUMIFS('Player Game Log'!$F$4:$F$603,'Player Game Log'!$A$4:$A$603,A99))</f>
        <v/>
      </c>
      <c r="O99" s="8" t="str">
        <f>IF($A99="","",SUMIFS('Player Game Log'!$G$4:$G$603,'Player Game Log'!$A$4:$A$603,A99))</f>
        <v/>
      </c>
      <c r="P99" s="8" t="str">
        <f>IF($A99="","",SUMIFS('Player Game Log'!$H$4:$H$603,'Player Game Log'!$A$4:$A$603,A99))</f>
        <v/>
      </c>
      <c r="Q99" s="8" t="str">
        <f>IF($A99="","",SUMIFS('Player Game Log'!$I$4:$I$603,'Player Game Log'!$A$4:$A$603,A99))</f>
        <v/>
      </c>
      <c r="R99" s="8" t="str">
        <f>IF($A99="","",SUMIFS('Player Game Log'!$R$4:$R$603,'Player Game Log'!$A$4:$A$603,A99))</f>
        <v/>
      </c>
      <c r="S99" s="8" t="str">
        <f>IF($A99="","",SUMIFS('Player Game Log'!$S$4:$S$603,'Player Game Log'!$A$4:$A$603,A99))</f>
        <v/>
      </c>
      <c r="T99" s="8" t="str">
        <f>IF($A99="","",SUMIFS('Player Game Log'!$J$4:$J$603,'Player Game Log'!$A$4:$A$603,A99))</f>
        <v/>
      </c>
      <c r="U99" s="8" t="str">
        <f>IF($A99="","",SUMIFS('Player Game Log'!$K$4:$K$603,'Player Game Log'!$A$4:$A$603,A99))</f>
        <v/>
      </c>
      <c r="V99" s="8" t="str">
        <f>IF($A99="","",SUMIFS('Player Game Log'!$L$4:$L$603,'Player Game Log'!$A$4:$A$603,A99))</f>
        <v/>
      </c>
      <c r="W99" s="8" t="str">
        <f>IF($A99="","",SUMIFS('Player Game Log'!$M$4:$M$603,'Player Game Log'!$A$4:$A$603,A99))</f>
        <v/>
      </c>
      <c r="X99" s="8" t="str">
        <f>IF($A99="","",SUMIFS('Player Game Log'!$N$4:$N$603,'Player Game Log'!$A$4:$A$603,A99))</f>
        <v/>
      </c>
      <c r="Y99" s="8" t="str">
        <f>IF($A99="","",SUMIFS('Player Game Log'!$O$4:$O$603,'Player Game Log'!$A$4:$A$603,A99))</f>
        <v/>
      </c>
      <c r="Z99" s="8" t="str">
        <f>IF($A99="","",SUMIFS('Player Game Log'!$P$4:$P$603,'Player Game Log'!$A$4:$A$603,A99))</f>
        <v/>
      </c>
      <c r="AA99" s="8" t="str">
        <f>IF($A99="","",SUMIFS('Player Game Log'!$Q$4:$Q$603,'Player Game Log'!$A$4:$A$603,A99))</f>
        <v/>
      </c>
      <c r="AB99" s="8" t="str">
        <f>IF($A99="","",COUNTIFS('Player Game Log'!$A$4:$A$603,A99))</f>
        <v/>
      </c>
      <c r="AC99" s="10" t="str">
        <f>IF($A99="","",IF(COUNTIFS('Player Game Log'!$A$4:$A$603,A99)&gt;0,"Yes","No"))</f>
        <v/>
      </c>
    </row>
    <row r="100" spans="1:29" ht="15" customHeight="1">
      <c r="A100" s="4"/>
      <c r="B100" s="15"/>
      <c r="C100" s="4"/>
      <c r="D100" s="7"/>
      <c r="E100" s="7"/>
      <c r="F100" s="7"/>
      <c r="G100" s="7"/>
      <c r="H100" s="8" t="str">
        <f t="shared" si="12"/>
        <v/>
      </c>
      <c r="I100" s="8" t="str">
        <f t="shared" si="13"/>
        <v/>
      </c>
      <c r="J100" s="8" t="str">
        <f t="shared" si="14"/>
        <v/>
      </c>
      <c r="K100" s="8" t="str">
        <f t="shared" si="15"/>
        <v/>
      </c>
      <c r="L100" s="10" t="str">
        <f t="shared" si="16"/>
        <v/>
      </c>
      <c r="M100" s="8" t="str">
        <f t="shared" si="17"/>
        <v/>
      </c>
      <c r="N100" s="8" t="str">
        <f>IF($A100="","",SUMIFS('Player Game Log'!$F$4:$F$603,'Player Game Log'!$A$4:$A$603,A100))</f>
        <v/>
      </c>
      <c r="O100" s="8" t="str">
        <f>IF($A100="","",SUMIFS('Player Game Log'!$G$4:$G$603,'Player Game Log'!$A$4:$A$603,A100))</f>
        <v/>
      </c>
      <c r="P100" s="8" t="str">
        <f>IF($A100="","",SUMIFS('Player Game Log'!$H$4:$H$603,'Player Game Log'!$A$4:$A$603,A100))</f>
        <v/>
      </c>
      <c r="Q100" s="8" t="str">
        <f>IF($A100="","",SUMIFS('Player Game Log'!$I$4:$I$603,'Player Game Log'!$A$4:$A$603,A100))</f>
        <v/>
      </c>
      <c r="R100" s="8" t="str">
        <f>IF($A100="","",SUMIFS('Player Game Log'!$R$4:$R$603,'Player Game Log'!$A$4:$A$603,A100))</f>
        <v/>
      </c>
      <c r="S100" s="8" t="str">
        <f>IF($A100="","",SUMIFS('Player Game Log'!$S$4:$S$603,'Player Game Log'!$A$4:$A$603,A100))</f>
        <v/>
      </c>
      <c r="T100" s="8" t="str">
        <f>IF($A100="","",SUMIFS('Player Game Log'!$J$4:$J$603,'Player Game Log'!$A$4:$A$603,A100))</f>
        <v/>
      </c>
      <c r="U100" s="8" t="str">
        <f>IF($A100="","",SUMIFS('Player Game Log'!$K$4:$K$603,'Player Game Log'!$A$4:$A$603,A100))</f>
        <v/>
      </c>
      <c r="V100" s="8" t="str">
        <f>IF($A100="","",SUMIFS('Player Game Log'!$L$4:$L$603,'Player Game Log'!$A$4:$A$603,A100))</f>
        <v/>
      </c>
      <c r="W100" s="8" t="str">
        <f>IF($A100="","",SUMIFS('Player Game Log'!$M$4:$M$603,'Player Game Log'!$A$4:$A$603,A100))</f>
        <v/>
      </c>
      <c r="X100" s="8" t="str">
        <f>IF($A100="","",SUMIFS('Player Game Log'!$N$4:$N$603,'Player Game Log'!$A$4:$A$603,A100))</f>
        <v/>
      </c>
      <c r="Y100" s="8" t="str">
        <f>IF($A100="","",SUMIFS('Player Game Log'!$O$4:$O$603,'Player Game Log'!$A$4:$A$603,A100))</f>
        <v/>
      </c>
      <c r="Z100" s="8" t="str">
        <f>IF($A100="","",SUMIFS('Player Game Log'!$P$4:$P$603,'Player Game Log'!$A$4:$A$603,A100))</f>
        <v/>
      </c>
      <c r="AA100" s="8" t="str">
        <f>IF($A100="","",SUMIFS('Player Game Log'!$Q$4:$Q$603,'Player Game Log'!$A$4:$A$603,A100))</f>
        <v/>
      </c>
      <c r="AB100" s="8" t="str">
        <f>IF($A100="","",COUNTIFS('Player Game Log'!$A$4:$A$603,A100))</f>
        <v/>
      </c>
      <c r="AC100" s="10" t="str">
        <f>IF($A100="","",IF(COUNTIFS('Player Game Log'!$A$4:$A$603,A100)&gt;0,"Yes","No"))</f>
        <v/>
      </c>
    </row>
    <row r="101" spans="1:29" ht="15" customHeight="1">
      <c r="A101" s="4"/>
      <c r="B101" s="15"/>
      <c r="C101" s="4"/>
      <c r="D101" s="7"/>
      <c r="E101" s="7"/>
      <c r="F101" s="7"/>
      <c r="G101" s="7"/>
      <c r="H101" s="8" t="str">
        <f t="shared" si="12"/>
        <v/>
      </c>
      <c r="I101" s="8" t="str">
        <f t="shared" si="13"/>
        <v/>
      </c>
      <c r="J101" s="8" t="str">
        <f t="shared" si="14"/>
        <v/>
      </c>
      <c r="K101" s="8" t="str">
        <f t="shared" si="15"/>
        <v/>
      </c>
      <c r="L101" s="10" t="str">
        <f t="shared" si="16"/>
        <v/>
      </c>
      <c r="M101" s="8" t="str">
        <f t="shared" si="17"/>
        <v/>
      </c>
      <c r="N101" s="8" t="str">
        <f>IF($A101="","",SUMIFS('Player Game Log'!$F$4:$F$603,'Player Game Log'!$A$4:$A$603,A101))</f>
        <v/>
      </c>
      <c r="O101" s="8" t="str">
        <f>IF($A101="","",SUMIFS('Player Game Log'!$G$4:$G$603,'Player Game Log'!$A$4:$A$603,A101))</f>
        <v/>
      </c>
      <c r="P101" s="8" t="str">
        <f>IF($A101="","",SUMIFS('Player Game Log'!$H$4:$H$603,'Player Game Log'!$A$4:$A$603,A101))</f>
        <v/>
      </c>
      <c r="Q101" s="8" t="str">
        <f>IF($A101="","",SUMIFS('Player Game Log'!$I$4:$I$603,'Player Game Log'!$A$4:$A$603,A101))</f>
        <v/>
      </c>
      <c r="R101" s="8" t="str">
        <f>IF($A101="","",SUMIFS('Player Game Log'!$R$4:$R$603,'Player Game Log'!$A$4:$A$603,A101))</f>
        <v/>
      </c>
      <c r="S101" s="8" t="str">
        <f>IF($A101="","",SUMIFS('Player Game Log'!$S$4:$S$603,'Player Game Log'!$A$4:$A$603,A101))</f>
        <v/>
      </c>
      <c r="T101" s="8" t="str">
        <f>IF($A101="","",SUMIFS('Player Game Log'!$J$4:$J$603,'Player Game Log'!$A$4:$A$603,A101))</f>
        <v/>
      </c>
      <c r="U101" s="8" t="str">
        <f>IF($A101="","",SUMIFS('Player Game Log'!$K$4:$K$603,'Player Game Log'!$A$4:$A$603,A101))</f>
        <v/>
      </c>
      <c r="V101" s="8" t="str">
        <f>IF($A101="","",SUMIFS('Player Game Log'!$L$4:$L$603,'Player Game Log'!$A$4:$A$603,A101))</f>
        <v/>
      </c>
      <c r="W101" s="8" t="str">
        <f>IF($A101="","",SUMIFS('Player Game Log'!$M$4:$M$603,'Player Game Log'!$A$4:$A$603,A101))</f>
        <v/>
      </c>
      <c r="X101" s="8" t="str">
        <f>IF($A101="","",SUMIFS('Player Game Log'!$N$4:$N$603,'Player Game Log'!$A$4:$A$603,A101))</f>
        <v/>
      </c>
      <c r="Y101" s="8" t="str">
        <f>IF($A101="","",SUMIFS('Player Game Log'!$O$4:$O$603,'Player Game Log'!$A$4:$A$603,A101))</f>
        <v/>
      </c>
      <c r="Z101" s="8" t="str">
        <f>IF($A101="","",SUMIFS('Player Game Log'!$P$4:$P$603,'Player Game Log'!$A$4:$A$603,A101))</f>
        <v/>
      </c>
      <c r="AA101" s="8" t="str">
        <f>IF($A101="","",SUMIFS('Player Game Log'!$Q$4:$Q$603,'Player Game Log'!$A$4:$A$603,A101))</f>
        <v/>
      </c>
      <c r="AB101" s="8" t="str">
        <f>IF($A101="","",COUNTIFS('Player Game Log'!$A$4:$A$603,A101))</f>
        <v/>
      </c>
      <c r="AC101" s="10" t="str">
        <f>IF($A101="","",IF(COUNTIFS('Player Game Log'!$A$4:$A$603,A101)&gt;0,"Yes","No"))</f>
        <v/>
      </c>
    </row>
    <row r="102" spans="1:29" ht="15" customHeight="1">
      <c r="A102" s="4"/>
      <c r="B102" s="15"/>
      <c r="C102" s="4"/>
      <c r="D102" s="7"/>
      <c r="E102" s="7"/>
      <c r="F102" s="7"/>
      <c r="G102" s="7"/>
      <c r="H102" s="8" t="str">
        <f t="shared" si="12"/>
        <v/>
      </c>
      <c r="I102" s="8" t="str">
        <f t="shared" si="13"/>
        <v/>
      </c>
      <c r="J102" s="8" t="str">
        <f t="shared" si="14"/>
        <v/>
      </c>
      <c r="K102" s="8" t="str">
        <f t="shared" si="15"/>
        <v/>
      </c>
      <c r="L102" s="10" t="str">
        <f t="shared" si="16"/>
        <v/>
      </c>
      <c r="M102" s="8" t="str">
        <f t="shared" si="17"/>
        <v/>
      </c>
      <c r="N102" s="8" t="str">
        <f>IF($A102="","",SUMIFS('Player Game Log'!$F$4:$F$603,'Player Game Log'!$A$4:$A$603,A102))</f>
        <v/>
      </c>
      <c r="O102" s="8" t="str">
        <f>IF($A102="","",SUMIFS('Player Game Log'!$G$4:$G$603,'Player Game Log'!$A$4:$A$603,A102))</f>
        <v/>
      </c>
      <c r="P102" s="8" t="str">
        <f>IF($A102="","",SUMIFS('Player Game Log'!$H$4:$H$603,'Player Game Log'!$A$4:$A$603,A102))</f>
        <v/>
      </c>
      <c r="Q102" s="8" t="str">
        <f>IF($A102="","",SUMIFS('Player Game Log'!$I$4:$I$603,'Player Game Log'!$A$4:$A$603,A102))</f>
        <v/>
      </c>
      <c r="R102" s="8" t="str">
        <f>IF($A102="","",SUMIFS('Player Game Log'!$R$4:$R$603,'Player Game Log'!$A$4:$A$603,A102))</f>
        <v/>
      </c>
      <c r="S102" s="8" t="str">
        <f>IF($A102="","",SUMIFS('Player Game Log'!$S$4:$S$603,'Player Game Log'!$A$4:$A$603,A102))</f>
        <v/>
      </c>
      <c r="T102" s="8" t="str">
        <f>IF($A102="","",SUMIFS('Player Game Log'!$J$4:$J$603,'Player Game Log'!$A$4:$A$603,A102))</f>
        <v/>
      </c>
      <c r="U102" s="8" t="str">
        <f>IF($A102="","",SUMIFS('Player Game Log'!$K$4:$K$603,'Player Game Log'!$A$4:$A$603,A102))</f>
        <v/>
      </c>
      <c r="V102" s="8" t="str">
        <f>IF($A102="","",SUMIFS('Player Game Log'!$L$4:$L$603,'Player Game Log'!$A$4:$A$603,A102))</f>
        <v/>
      </c>
      <c r="W102" s="8" t="str">
        <f>IF($A102="","",SUMIFS('Player Game Log'!$M$4:$M$603,'Player Game Log'!$A$4:$A$603,A102))</f>
        <v/>
      </c>
      <c r="X102" s="8" t="str">
        <f>IF($A102="","",SUMIFS('Player Game Log'!$N$4:$N$603,'Player Game Log'!$A$4:$A$603,A102))</f>
        <v/>
      </c>
      <c r="Y102" s="8" t="str">
        <f>IF($A102="","",SUMIFS('Player Game Log'!$O$4:$O$603,'Player Game Log'!$A$4:$A$603,A102))</f>
        <v/>
      </c>
      <c r="Z102" s="8" t="str">
        <f>IF($A102="","",SUMIFS('Player Game Log'!$P$4:$P$603,'Player Game Log'!$A$4:$A$603,A102))</f>
        <v/>
      </c>
      <c r="AA102" s="8" t="str">
        <f>IF($A102="","",SUMIFS('Player Game Log'!$Q$4:$Q$603,'Player Game Log'!$A$4:$A$603,A102))</f>
        <v/>
      </c>
      <c r="AB102" s="8" t="str">
        <f>IF($A102="","",COUNTIFS('Player Game Log'!$A$4:$A$603,A102))</f>
        <v/>
      </c>
      <c r="AC102" s="10" t="str">
        <f>IF($A102="","",IF(COUNTIFS('Player Game Log'!$A$4:$A$603,A102)&gt;0,"Yes","No"))</f>
        <v/>
      </c>
    </row>
    <row r="103" spans="1:29" ht="15" customHeight="1">
      <c r="A103" s="4"/>
      <c r="B103" s="15"/>
      <c r="C103" s="4"/>
      <c r="D103" s="7"/>
      <c r="E103" s="7"/>
      <c r="F103" s="7"/>
      <c r="G103" s="7"/>
      <c r="H103" s="8" t="str">
        <f t="shared" si="12"/>
        <v/>
      </c>
      <c r="I103" s="8" t="str">
        <f t="shared" si="13"/>
        <v/>
      </c>
      <c r="J103" s="8" t="str">
        <f t="shared" si="14"/>
        <v/>
      </c>
      <c r="K103" s="8" t="str">
        <f t="shared" si="15"/>
        <v/>
      </c>
      <c r="L103" s="10" t="str">
        <f t="shared" si="16"/>
        <v/>
      </c>
      <c r="M103" s="8" t="str">
        <f t="shared" si="17"/>
        <v/>
      </c>
      <c r="N103" s="8" t="str">
        <f>IF($A103="","",SUMIFS('Player Game Log'!$F$4:$F$603,'Player Game Log'!$A$4:$A$603,A103))</f>
        <v/>
      </c>
      <c r="O103" s="8" t="str">
        <f>IF($A103="","",SUMIFS('Player Game Log'!$G$4:$G$603,'Player Game Log'!$A$4:$A$603,A103))</f>
        <v/>
      </c>
      <c r="P103" s="8" t="str">
        <f>IF($A103="","",SUMIFS('Player Game Log'!$H$4:$H$603,'Player Game Log'!$A$4:$A$603,A103))</f>
        <v/>
      </c>
      <c r="Q103" s="8" t="str">
        <f>IF($A103="","",SUMIFS('Player Game Log'!$I$4:$I$603,'Player Game Log'!$A$4:$A$603,A103))</f>
        <v/>
      </c>
      <c r="R103" s="8" t="str">
        <f>IF($A103="","",SUMIFS('Player Game Log'!$R$4:$R$603,'Player Game Log'!$A$4:$A$603,A103))</f>
        <v/>
      </c>
      <c r="S103" s="8" t="str">
        <f>IF($A103="","",SUMIFS('Player Game Log'!$S$4:$S$603,'Player Game Log'!$A$4:$A$603,A103))</f>
        <v/>
      </c>
      <c r="T103" s="8" t="str">
        <f>IF($A103="","",SUMIFS('Player Game Log'!$J$4:$J$603,'Player Game Log'!$A$4:$A$603,A103))</f>
        <v/>
      </c>
      <c r="U103" s="8" t="str">
        <f>IF($A103="","",SUMIFS('Player Game Log'!$K$4:$K$603,'Player Game Log'!$A$4:$A$603,A103))</f>
        <v/>
      </c>
      <c r="V103" s="8" t="str">
        <f>IF($A103="","",SUMIFS('Player Game Log'!$L$4:$L$603,'Player Game Log'!$A$4:$A$603,A103))</f>
        <v/>
      </c>
      <c r="W103" s="8" t="str">
        <f>IF($A103="","",SUMIFS('Player Game Log'!$M$4:$M$603,'Player Game Log'!$A$4:$A$603,A103))</f>
        <v/>
      </c>
      <c r="X103" s="8" t="str">
        <f>IF($A103="","",SUMIFS('Player Game Log'!$N$4:$N$603,'Player Game Log'!$A$4:$A$603,A103))</f>
        <v/>
      </c>
      <c r="Y103" s="8" t="str">
        <f>IF($A103="","",SUMIFS('Player Game Log'!$O$4:$O$603,'Player Game Log'!$A$4:$A$603,A103))</f>
        <v/>
      </c>
      <c r="Z103" s="8" t="str">
        <f>IF($A103="","",SUMIFS('Player Game Log'!$P$4:$P$603,'Player Game Log'!$A$4:$A$603,A103))</f>
        <v/>
      </c>
      <c r="AA103" s="8" t="str">
        <f>IF($A103="","",SUMIFS('Player Game Log'!$Q$4:$Q$603,'Player Game Log'!$A$4:$A$603,A103))</f>
        <v/>
      </c>
      <c r="AB103" s="8" t="str">
        <f>IF($A103="","",COUNTIFS('Player Game Log'!$A$4:$A$603,A103))</f>
        <v/>
      </c>
      <c r="AC103" s="10" t="str">
        <f>IF($A103="","",IF(COUNTIFS('Player Game Log'!$A$4:$A$603,A103)&gt;0,"Yes","No"))</f>
        <v/>
      </c>
    </row>
  </sheetData>
  <mergeCells count="1">
    <mergeCell ref="A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8"/>
  <sheetViews>
    <sheetView showGridLines="0" tabSelected="1" workbookViewId="0">
      <pane xSplit="4" ySplit="17" topLeftCell="S18" activePane="bottomRight" state="frozen"/>
      <selection pane="topRight" activeCell="E1" sqref="E1"/>
      <selection pane="bottomLeft" activeCell="A18" sqref="A18"/>
      <selection pane="bottomRight" activeCell="AC1" sqref="AC1:AC1048576"/>
    </sheetView>
  </sheetViews>
  <sheetFormatPr defaultRowHeight="14"/>
  <cols>
    <col min="1" max="1" width="8" customWidth="1"/>
    <col min="2" max="2" width="8.9140625" customWidth="1"/>
    <col min="3" max="3" width="11.1640625" customWidth="1"/>
    <col min="4" max="12" width="8" customWidth="1"/>
    <col min="13" max="13" width="9" customWidth="1"/>
    <col min="14" max="15" width="8" customWidth="1"/>
    <col min="16" max="18" width="9" customWidth="1"/>
    <col min="19" max="21" width="8" customWidth="1"/>
    <col min="22" max="22" width="9" customWidth="1"/>
    <col min="23" max="27" width="8" customWidth="1"/>
    <col min="28" max="28" width="13.25" customWidth="1"/>
    <col min="29" max="29" width="9.25" customWidth="1"/>
  </cols>
  <sheetData>
    <row r="1" spans="1:29" ht="15" customHeight="1">
      <c r="A1" s="31" t="s">
        <v>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0"/>
    </row>
    <row r="2" spans="1:29" ht="15" customHeight="1">
      <c r="A2" s="25" t="s">
        <v>59</v>
      </c>
      <c r="B2" s="25"/>
      <c r="C2" s="25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9" ht="15" customHeight="1">
      <c r="A3" s="2" t="s">
        <v>60</v>
      </c>
      <c r="B3" s="2" t="s">
        <v>61</v>
      </c>
      <c r="C3" s="2" t="s">
        <v>62</v>
      </c>
      <c r="D3" s="2" t="s">
        <v>63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5" customHeight="1">
      <c r="A4" s="9">
        <f>COUNTIF('Team Game Log'!$A$4:$A$103,"&gt;0")</f>
        <v>3</v>
      </c>
      <c r="B4" s="9">
        <f>COUNTIF('Team Game Log'!$L$4:$L$103,"W")</f>
        <v>1</v>
      </c>
      <c r="C4" s="9">
        <f>COUNTIF('Team Game Log'!$L$4:$L$103,"L")</f>
        <v>2</v>
      </c>
      <c r="D4" s="9">
        <f>COUNTIF('Team Game Log'!$L$4:$L$103,"T")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15" customHeight="1">
      <c r="A5" s="16" t="s">
        <v>110</v>
      </c>
      <c r="B5" s="2" t="s">
        <v>64</v>
      </c>
      <c r="C5" s="2" t="s">
        <v>71</v>
      </c>
      <c r="D5" s="2" t="s">
        <v>72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9" ht="15" customHeight="1">
      <c r="A6" s="12">
        <f>IF(A4=0,"",AVERAGEIF('Team Game Log'!$A$4:$A$103,"&gt;0",'Team Game Log'!$E$4:$E$103))</f>
        <v>35</v>
      </c>
      <c r="B6" s="12">
        <f>IF(A4=0,"",AVERAGEIF('Team Game Log'!$A$4:$A$103,"&gt;0",'Team Game Log'!$M$4:$M$103))</f>
        <v>-12.666666666666666</v>
      </c>
      <c r="C6" s="12">
        <f>IF(A4=0,"",AVERAGEIF('Team Game Log'!$A$4:$A$103,"&gt;0",'Team Game Log'!$H$4:$H$103))</f>
        <v>16.333333333333332</v>
      </c>
      <c r="D6" s="12">
        <f>IF(A4=0,"",AVERAGEIF('Team Game Log'!$A$4:$A$103,"&gt;0",'Team Game Log'!$I$4:$I$103))</f>
        <v>18.666666666666668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9" ht="15" customHeight="1">
      <c r="A7" s="2" t="s">
        <v>69</v>
      </c>
      <c r="B7" s="16" t="s">
        <v>112</v>
      </c>
      <c r="C7" s="16" t="s">
        <v>111</v>
      </c>
      <c r="D7" s="2" t="s">
        <v>70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9" ht="15" customHeight="1">
      <c r="A8" s="12">
        <f>IF(A4=0,"",AVERAGEIF('Team Game Log'!$A$4:$A$103,"&gt;0",'Team Game Log'!$S$4:$S$103))</f>
        <v>56.666666666666664</v>
      </c>
      <c r="B8" s="12">
        <f>IF(A4=0,"",AVERAGEIF('Team Game Log'!$A$4:$A$103,"&gt;0",'Team Game Log'!$N$4:$N$103))</f>
        <v>9.3333333333333339</v>
      </c>
      <c r="C8" s="12">
        <f>IF(A4=0,"",AVERAGEIF('Team Game Log'!$A$4:$A$103,"&gt;0",'Team Game Log'!$P$4:$P$103))</f>
        <v>3.6666666666666665</v>
      </c>
      <c r="D8" s="12">
        <f>IF(A4=0,"",AVERAGEIF('Team Game Log'!$A$4:$A$103,"&gt;0",'Team Game Log'!$U$4:$U$103))</f>
        <v>13.666666666666666</v>
      </c>
      <c r="E8" s="1"/>
      <c r="F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9" ht="15" customHeight="1">
      <c r="A9" s="2" t="s">
        <v>41</v>
      </c>
      <c r="B9" s="16" t="s">
        <v>106</v>
      </c>
      <c r="C9" s="16" t="s">
        <v>107</v>
      </c>
      <c r="D9" s="2" t="s">
        <v>42</v>
      </c>
      <c r="E9" s="1"/>
      <c r="F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9" ht="15" customHeight="1">
      <c r="A10" s="13">
        <f>IF(SUM('Team Game Log'!$S$4:$S$103)=0,"",SUM('Team Game Log'!$R$4:$R$103)/SUM('Team Game Log'!$S$4:$S$103))</f>
        <v>0.22941176470588234</v>
      </c>
      <c r="B10" s="26">
        <f>IF(SUM('Team Game Log'!$O$4:$O$103)=0,"",SUM('Team Game Log'!$N$4:$N$103)/SUM('Team Game Log'!$O$4:$O$103))</f>
        <v>0.2978723404255319</v>
      </c>
      <c r="C10" s="26">
        <f>IF(SUM('Team Game Log'!$Q$4:$Q$103)=0,"",SUM('Team Game Log'!$P$4:$P$103)/SUM('Team Game Log'!$Q$4:$Q$103))</f>
        <v>0.14473684210526316</v>
      </c>
      <c r="D10" s="13">
        <f>IF(SUM('Team Game Log'!$U$4:$U$103)=0,"",SUM('Team Game Log'!$T$4:$T$103)/SUM('Team Game Log'!$U$4:$U$103))</f>
        <v>0.3902439024390244</v>
      </c>
    </row>
    <row r="11" spans="1:29" ht="15" customHeight="1">
      <c r="A11" s="2" t="s">
        <v>68</v>
      </c>
      <c r="B11" s="2" t="s">
        <v>66</v>
      </c>
      <c r="C11" s="21" t="s">
        <v>99</v>
      </c>
      <c r="D11" s="17" t="s">
        <v>98</v>
      </c>
    </row>
    <row r="12" spans="1:29" ht="15" customHeight="1">
      <c r="A12" s="12">
        <f>IF(A4=0,"",AVERAGEIF('Team Game Log'!$A$4:$A$103,"&gt;0",'Team Game Log'!$X$4:$X$103))</f>
        <v>5</v>
      </c>
      <c r="B12" s="12">
        <f>IF(A4=0,"",AVERAGEIF('Team Game Log'!$A$4:$A$103,"&gt;0",'Team Game Log'!$W$4:$W$103))</f>
        <v>9</v>
      </c>
      <c r="C12" s="28" t="str">
        <f>IF(A4=0,"",TEXT(AVERAGEIF('Team Game Log'!$A$4:$A$103,"&gt;0",'Team Game Log'!$AB$4:$AB$103),"0.##")&amp;" Player(s)")</f>
        <v>9.67 Player(s)</v>
      </c>
      <c r="D12" s="12">
        <f>IF(A4=0,"",AVERAGEIF('Team Game Log'!$A$4:$A$103,"&gt;0",'Team Game Log'!$Z$4:$Z$103))</f>
        <v>6.666666666666667</v>
      </c>
    </row>
    <row r="13" spans="1:29" ht="15" customHeight="1">
      <c r="A13" s="2" t="s">
        <v>65</v>
      </c>
      <c r="B13" s="2" t="s">
        <v>67</v>
      </c>
      <c r="D13" s="21" t="s">
        <v>120</v>
      </c>
    </row>
    <row r="14" spans="1:29" ht="15" customHeight="1">
      <c r="A14" s="12">
        <f>IF(A4=0,"",AVERAGEIF('Team Game Log'!$A$4:$A$103,"&gt;0",'Team Game Log'!$Y$4:$Y$103))</f>
        <v>11.333333333333334</v>
      </c>
      <c r="B14" s="12">
        <f>IF(A4=0,"",AVERAGEIF('Team Game Log'!$A$4:$A$103,"&gt;0",'Team Game Log'!$V$4:$V$103))</f>
        <v>25.333333333333332</v>
      </c>
      <c r="D14" s="12">
        <f>IF(A6=0,"",AVERAGEIF('Team Game Log'!$A$5:$A$103,"&gt;0",'Team Game Log'!$AA$5:$AA$103))</f>
        <v>4</v>
      </c>
    </row>
    <row r="15" spans="1:29" ht="15" customHeight="1"/>
    <row r="16" spans="1:29" ht="15" customHeight="1">
      <c r="A16" s="41" t="s">
        <v>119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spans="1:29" ht="15" customHeight="1">
      <c r="A17" s="2" t="s">
        <v>3</v>
      </c>
      <c r="B17" s="2" t="s">
        <v>4</v>
      </c>
      <c r="C17" s="2" t="s">
        <v>39</v>
      </c>
      <c r="D17" s="22" t="s">
        <v>60</v>
      </c>
      <c r="E17" s="22" t="s">
        <v>40</v>
      </c>
      <c r="F17" s="2" t="s">
        <v>73</v>
      </c>
      <c r="G17" s="22" t="s">
        <v>25</v>
      </c>
      <c r="H17" s="22" t="s">
        <v>26</v>
      </c>
      <c r="I17" s="2" t="s">
        <v>106</v>
      </c>
      <c r="J17" s="22" t="s">
        <v>27</v>
      </c>
      <c r="K17" s="22" t="s">
        <v>28</v>
      </c>
      <c r="L17" s="16" t="s">
        <v>107</v>
      </c>
      <c r="M17" s="22" t="s">
        <v>29</v>
      </c>
      <c r="N17" s="22" t="s">
        <v>30</v>
      </c>
      <c r="O17" s="2" t="s">
        <v>41</v>
      </c>
      <c r="P17" s="22" t="s">
        <v>31</v>
      </c>
      <c r="Q17" s="22" t="s">
        <v>32</v>
      </c>
      <c r="R17" s="2" t="s">
        <v>42</v>
      </c>
      <c r="S17" s="22" t="s">
        <v>109</v>
      </c>
      <c r="T17" s="22" t="s">
        <v>108</v>
      </c>
      <c r="U17" s="22" t="s">
        <v>121</v>
      </c>
      <c r="V17" s="16" t="s">
        <v>122</v>
      </c>
      <c r="W17" s="22" t="s">
        <v>35</v>
      </c>
      <c r="X17" s="22" t="s">
        <v>36</v>
      </c>
      <c r="Y17" s="22" t="s">
        <v>97</v>
      </c>
      <c r="Z17" s="22" t="s">
        <v>114</v>
      </c>
      <c r="AA17" s="39" t="s">
        <v>116</v>
      </c>
      <c r="AB17" s="16" t="s">
        <v>115</v>
      </c>
      <c r="AC17" s="21" t="s">
        <v>118</v>
      </c>
    </row>
    <row r="18" spans="1:29" ht="15" customHeight="1">
      <c r="A18" s="8">
        <f>Roster!A5</f>
        <v>1</v>
      </c>
      <c r="B18" s="8" t="str">
        <f>IF(Roster!B5="","",Roster!B5)</f>
        <v/>
      </c>
      <c r="C18" s="10" t="str">
        <f>IF(Roster!C5="","",Roster!C5)</f>
        <v>Brendan Wong</v>
      </c>
      <c r="D18" s="8" cm="1">
        <f t="array" ref="D18">SUMPRODUCT(('Player Game Log'!$E$4:$E$603=C18)*('Player Game Log'!$A$4:$A$603&gt;0)*--_xlfn.BYROW('Player Game Log'!$F$4:$P$603,_xlfn.LAMBDA(_xlpm.r,SUM(--(_xlpm.r&lt;&gt;""))&gt;0)))</f>
        <v>1</v>
      </c>
      <c r="E18" s="8">
        <f>IF($D18=0,"",SUMIFS('Player Game Log'!$T$4:$T$603,'Player Game Log'!$E$4:$E$603,C18))</f>
        <v>11</v>
      </c>
      <c r="F18" s="23">
        <f t="shared" ref="F18:F37" si="0">IF($D18=0,"",E18/D18)</f>
        <v>11</v>
      </c>
      <c r="G18" s="8">
        <f>IF($D18=0,"",SUMIFS('Player Game Log'!$F$4:$F$603,'Player Game Log'!$E$4:$E$603,C18))</f>
        <v>5</v>
      </c>
      <c r="H18" s="8">
        <f>IF($D18=0,"",SUMIFS('Player Game Log'!$G$4:$G$603,'Player Game Log'!$E$4:$E$603,C18))</f>
        <v>11</v>
      </c>
      <c r="I18" s="24">
        <f t="shared" ref="I18:I37" si="1">IF($D18=0,"",IF(H18=0,"",G18/H18))</f>
        <v>0.45454545454545453</v>
      </c>
      <c r="J18" s="8">
        <f>IF($D18=0,"",SUMIFS('Player Game Log'!$H$4:$H$603,'Player Game Log'!$E$4:$E$603,C18))</f>
        <v>0</v>
      </c>
      <c r="K18" s="8">
        <f>IF($D18=0,"",SUMIFS('Player Game Log'!$I$4:$I$603,'Player Game Log'!$E$4:$E$603,C18))</f>
        <v>6</v>
      </c>
      <c r="L18" s="24">
        <f t="shared" ref="L18:L37" si="2">IF($D18=0,"",IF(K18=0,"",J18/K18))</f>
        <v>0</v>
      </c>
      <c r="M18" s="8">
        <f>IF($D18=0,"",SUMIFS('Player Game Log'!$R$4:$R$603,'Player Game Log'!$E$4:$E$603,C18))</f>
        <v>5</v>
      </c>
      <c r="N18" s="8">
        <f>IF($D18=0,"",SUMIFS('Player Game Log'!$S$4:$S$603,'Player Game Log'!$E$4:$E$603,C18))</f>
        <v>17</v>
      </c>
      <c r="O18" s="24">
        <f t="shared" ref="O18:O37" si="3">IF($D18=0,"",IF(N18=0,"",M18/N18))</f>
        <v>0.29411764705882354</v>
      </c>
      <c r="P18" s="8">
        <f>IF($D18=0,"",SUMIFS('Player Game Log'!$J$4:$J$603,'Player Game Log'!$E$4:$E$603,C18))</f>
        <v>1</v>
      </c>
      <c r="Q18" s="8">
        <f>IF($D18=0,"",SUMIFS('Player Game Log'!$K$4:$K$603,'Player Game Log'!$E$4:$E$603,C18))</f>
        <v>5</v>
      </c>
      <c r="R18" s="24">
        <f t="shared" ref="R18:R37" si="4">IF($D18=0,"",IF(Q18=0,"",P18/Q18))</f>
        <v>0.2</v>
      </c>
      <c r="S18" s="8">
        <f>IF($D18=0,"",SUMIFS('Player Game Log'!$L$4:$L$603,'Player Game Log'!$E$4:$E$603,C18))</f>
        <v>4</v>
      </c>
      <c r="T18" s="8">
        <f>IF($D18=0,"",SUMIFS('Player Game Log'!$M$4:$M$603,'Player Game Log'!$E$4:$E$603,C18))</f>
        <v>0</v>
      </c>
      <c r="U18" s="27">
        <f t="shared" ref="U18:U37" si="5">IF($D18=0,"",S18+T18)</f>
        <v>4</v>
      </c>
      <c r="V18" s="23">
        <f t="shared" ref="V18:V37" si="6">IF($D18=0,"",IF(D18=0,"",U18/D18))</f>
        <v>4</v>
      </c>
      <c r="W18" s="8">
        <f>IF($D18=0,"",SUMIFS('Player Game Log'!$N$4:$N$603,'Player Game Log'!$E$4:$E$603,C18))</f>
        <v>3</v>
      </c>
      <c r="X18" s="8">
        <f>IF($D18=0,"",SUMIFS('Player Game Log'!$O$4:$O$603,'Player Game Log'!$E$4:$E$603,C18))</f>
        <v>3</v>
      </c>
      <c r="Y18" s="8">
        <f>IF($D18=0,"",SUMIFS('Player Game Log'!$P$4:$P$603,'Player Game Log'!$E$4:$E$603,C18))</f>
        <v>1</v>
      </c>
      <c r="Z18" s="8">
        <f>IF($D18=0,"",SUMIFS('Player Game Log'!$Q$4:$Q$603,'Player Game Log'!$E$4:$E$603,C18))</f>
        <v>0</v>
      </c>
      <c r="AA18" s="27">
        <f>IF($D18=0,"",$Y18+$Z18)</f>
        <v>1</v>
      </c>
      <c r="AB18" s="40" cm="1">
        <f t="array" ref="AB18">_xlfn.IFS(D18=0,"",W18+X18=0,"BALL WATCHER",X18=0,"PASSING GOD",W18=0,"BUTTER FINGERS",W18+X18&gt;0,W18/X18)</f>
        <v>1</v>
      </c>
      <c r="AC18" s="23">
        <f>IF($D18=0,"",($Y18+$Z18)/$D18)</f>
        <v>1</v>
      </c>
    </row>
    <row r="19" spans="1:29" ht="15" customHeight="1">
      <c r="A19" s="8">
        <f>Roster!A6</f>
        <v>2</v>
      </c>
      <c r="B19" s="8" t="str">
        <f>IF(Roster!B6="","",Roster!B6)</f>
        <v/>
      </c>
      <c r="C19" s="10" t="str">
        <f>IF(Roster!C6="","",Roster!C6)</f>
        <v>Kevin Chen</v>
      </c>
      <c r="D19" s="8" cm="1">
        <f t="array" ref="D19">SUMPRODUCT(('Player Game Log'!$E$4:$E$603=C19)*('Player Game Log'!$A$4:$A$603&gt;0)*--_xlfn.BYROW('Player Game Log'!$F$4:$P$603,_xlfn.LAMBDA(_xlpm.r,SUM(--(_xlpm.r&lt;&gt;""))&gt;0)))</f>
        <v>2</v>
      </c>
      <c r="E19" s="8">
        <f>IF($D19=0,"",SUMIFS('Player Game Log'!$T$4:$T$603,'Player Game Log'!$E$4:$E$603,C19))</f>
        <v>22</v>
      </c>
      <c r="F19" s="23">
        <f t="shared" si="0"/>
        <v>11</v>
      </c>
      <c r="G19" s="8">
        <f>IF($D19=0,"",SUMIFS('Player Game Log'!$F$4:$F$603,'Player Game Log'!$E$4:$E$603,C19))</f>
        <v>7</v>
      </c>
      <c r="H19" s="8">
        <f>IF($D19=0,"",SUMIFS('Player Game Log'!$G$4:$G$603,'Player Game Log'!$E$4:$E$603,C19))</f>
        <v>23</v>
      </c>
      <c r="I19" s="24">
        <f t="shared" si="1"/>
        <v>0.30434782608695654</v>
      </c>
      <c r="J19" s="8">
        <f>IF($D19=0,"",SUMIFS('Player Game Log'!$H$4:$H$603,'Player Game Log'!$E$4:$E$603,C19))</f>
        <v>1</v>
      </c>
      <c r="K19" s="8">
        <f>IF($D19=0,"",SUMIFS('Player Game Log'!$I$4:$I$603,'Player Game Log'!$E$4:$E$603,C19))</f>
        <v>5</v>
      </c>
      <c r="L19" s="24">
        <f t="shared" si="2"/>
        <v>0.2</v>
      </c>
      <c r="M19" s="8">
        <f>IF($D19=0,"",SUMIFS('Player Game Log'!$R$4:$R$603,'Player Game Log'!$E$4:$E$603,C19))</f>
        <v>8</v>
      </c>
      <c r="N19" s="8">
        <f>IF($D19=0,"",SUMIFS('Player Game Log'!$S$4:$S$603,'Player Game Log'!$E$4:$E$603,C19))</f>
        <v>28</v>
      </c>
      <c r="O19" s="24">
        <f t="shared" si="3"/>
        <v>0.2857142857142857</v>
      </c>
      <c r="P19" s="8">
        <f>IF($D19=0,"",SUMIFS('Player Game Log'!$J$4:$J$603,'Player Game Log'!$E$4:$E$603,C19))</f>
        <v>5</v>
      </c>
      <c r="Q19" s="8">
        <f>IF($D19=0,"",SUMIFS('Player Game Log'!$K$4:$K$603,'Player Game Log'!$E$4:$E$603,C19))</f>
        <v>21</v>
      </c>
      <c r="R19" s="24">
        <f t="shared" si="4"/>
        <v>0.23809523809523808</v>
      </c>
      <c r="S19" s="8">
        <f>IF($D19=0,"",SUMIFS('Player Game Log'!$L$4:$L$603,'Player Game Log'!$E$4:$E$603,C19))</f>
        <v>10</v>
      </c>
      <c r="T19" s="8">
        <f>IF($D19=0,"",SUMIFS('Player Game Log'!$M$4:$M$603,'Player Game Log'!$E$4:$E$603,C19))</f>
        <v>1</v>
      </c>
      <c r="U19" s="27">
        <f t="shared" si="5"/>
        <v>11</v>
      </c>
      <c r="V19" s="23">
        <f t="shared" si="6"/>
        <v>5.5</v>
      </c>
      <c r="W19" s="8">
        <f>IF($D19=0,"",SUMIFS('Player Game Log'!$N$4:$N$603,'Player Game Log'!$E$4:$E$603,C19))</f>
        <v>3</v>
      </c>
      <c r="X19" s="8">
        <f>IF($D19=0,"",SUMIFS('Player Game Log'!$O$4:$O$603,'Player Game Log'!$E$4:$E$603,C19))</f>
        <v>5</v>
      </c>
      <c r="Y19" s="8">
        <f>IF($D19=0,"",SUMIFS('Player Game Log'!$P$4:$P$603,'Player Game Log'!$E$4:$E$603,C19))</f>
        <v>3</v>
      </c>
      <c r="Z19" s="8">
        <f>IF($D19=0,"",SUMIFS('Player Game Log'!$Q$4:$Q$603,'Player Game Log'!$E$4:$E$603,C19))</f>
        <v>0</v>
      </c>
      <c r="AA19" s="27">
        <f t="shared" ref="AA19:AA37" si="7">IF($D19=0,"",$Y19+$Z19)</f>
        <v>3</v>
      </c>
      <c r="AB19" s="40" cm="1">
        <f t="array" ref="AB19">_xlfn.IFS(D19=0,"",W19+X19=0,"BALL WATCHER",X19=0,"PASSING GOD",W19=0,"BUTTER FINGERS",W19+X19&gt;0,W19/X19)</f>
        <v>0.6</v>
      </c>
      <c r="AC19" s="23">
        <f t="shared" ref="AC19:AC37" si="8">IF($D19=0,"",($Y19+$Z19)/$D19)</f>
        <v>1.5</v>
      </c>
    </row>
    <row r="20" spans="1:29" ht="15" customHeight="1">
      <c r="A20" s="8">
        <f>Roster!A7</f>
        <v>3</v>
      </c>
      <c r="B20" s="8" t="str">
        <f>IF(Roster!B7="","",Roster!B7)</f>
        <v/>
      </c>
      <c r="C20" s="10" t="str">
        <f>IF(Roster!C7="","",Roster!C7)</f>
        <v>Siddarth D</v>
      </c>
      <c r="D20" s="8" cm="1">
        <f t="array" ref="D20">SUMPRODUCT(('Player Game Log'!$E$4:$E$603=C20)*('Player Game Log'!$A$4:$A$603&gt;0)*--_xlfn.BYROW('Player Game Log'!$F$4:$P$603,_xlfn.LAMBDA(_xlpm.r,SUM(--(_xlpm.r&lt;&gt;""))&gt;0)))</f>
        <v>2</v>
      </c>
      <c r="E20" s="8">
        <f>IF($D20=0,"",SUMIFS('Player Game Log'!$T$4:$T$603,'Player Game Log'!$E$4:$E$603,C20))</f>
        <v>7</v>
      </c>
      <c r="F20" s="23">
        <f t="shared" si="0"/>
        <v>3.5</v>
      </c>
      <c r="G20" s="8">
        <f>IF($D20=0,"",SUMIFS('Player Game Log'!$F$4:$F$603,'Player Game Log'!$E$4:$E$603,C20))</f>
        <v>3</v>
      </c>
      <c r="H20" s="8">
        <f>IF($D20=0,"",SUMIFS('Player Game Log'!$G$4:$G$603,'Player Game Log'!$E$4:$E$603,C20))</f>
        <v>7</v>
      </c>
      <c r="I20" s="24">
        <f t="shared" si="1"/>
        <v>0.42857142857142855</v>
      </c>
      <c r="J20" s="8">
        <f>IF($D20=0,"",SUMIFS('Player Game Log'!$H$4:$H$603,'Player Game Log'!$E$4:$E$603,C20))</f>
        <v>0</v>
      </c>
      <c r="K20" s="8">
        <f>IF($D20=0,"",SUMIFS('Player Game Log'!$I$4:$I$603,'Player Game Log'!$E$4:$E$603,C20))</f>
        <v>1</v>
      </c>
      <c r="L20" s="24">
        <f t="shared" si="2"/>
        <v>0</v>
      </c>
      <c r="M20" s="8">
        <f>IF($D20=0,"",SUMIFS('Player Game Log'!$R$4:$R$603,'Player Game Log'!$E$4:$E$603,C20))</f>
        <v>3</v>
      </c>
      <c r="N20" s="8">
        <f>IF($D20=0,"",SUMIFS('Player Game Log'!$S$4:$S$603,'Player Game Log'!$E$4:$E$603,C20))</f>
        <v>8</v>
      </c>
      <c r="O20" s="24">
        <f t="shared" si="3"/>
        <v>0.375</v>
      </c>
      <c r="P20" s="8">
        <f>IF($D20=0,"",SUMIFS('Player Game Log'!$J$4:$J$603,'Player Game Log'!$E$4:$E$603,C20))</f>
        <v>1</v>
      </c>
      <c r="Q20" s="8">
        <f>IF($D20=0,"",SUMIFS('Player Game Log'!$K$4:$K$603,'Player Game Log'!$E$4:$E$603,C20))</f>
        <v>2</v>
      </c>
      <c r="R20" s="24">
        <f t="shared" si="4"/>
        <v>0.5</v>
      </c>
      <c r="S20" s="8">
        <f>IF($D20=0,"",SUMIFS('Player Game Log'!$L$4:$L$603,'Player Game Log'!$E$4:$E$603,C20))</f>
        <v>10</v>
      </c>
      <c r="T20" s="8">
        <f>IF($D20=0,"",SUMIFS('Player Game Log'!$M$4:$M$603,'Player Game Log'!$E$4:$E$603,C20))</f>
        <v>6</v>
      </c>
      <c r="U20" s="27">
        <f t="shared" si="5"/>
        <v>16</v>
      </c>
      <c r="V20" s="23">
        <f t="shared" si="6"/>
        <v>8</v>
      </c>
      <c r="W20" s="8">
        <f>IF($D20=0,"",SUMIFS('Player Game Log'!$N$4:$N$603,'Player Game Log'!$E$4:$E$603,C20))</f>
        <v>0</v>
      </c>
      <c r="X20" s="8">
        <f>IF($D20=0,"",SUMIFS('Player Game Log'!$O$4:$O$603,'Player Game Log'!$E$4:$E$603,C20))</f>
        <v>8</v>
      </c>
      <c r="Y20" s="8">
        <f>IF($D20=0,"",SUMIFS('Player Game Log'!$P$4:$P$603,'Player Game Log'!$E$4:$E$603,C20))</f>
        <v>6</v>
      </c>
      <c r="Z20" s="8">
        <f>IF($D20=0,"",SUMIFS('Player Game Log'!$Q$4:$Q$603,'Player Game Log'!$E$4:$E$603,C20))</f>
        <v>6</v>
      </c>
      <c r="AA20" s="27">
        <f t="shared" si="7"/>
        <v>12</v>
      </c>
      <c r="AB20" s="40" t="str" cm="1">
        <f t="array" ref="AB20">_xlfn.IFS(D20=0,"",W20+X20=0,"BALL WATCHER",X20=0,"PASSING GOD",W20=0,"BUTTER FINGERS",W20+X20&gt;0,W20/X20)</f>
        <v>BUTTER FINGERS</v>
      </c>
      <c r="AC20" s="23">
        <f t="shared" si="8"/>
        <v>6</v>
      </c>
    </row>
    <row r="21" spans="1:29" ht="15" customHeight="1">
      <c r="A21" s="8">
        <f>Roster!A8</f>
        <v>4</v>
      </c>
      <c r="B21" s="8" t="str">
        <f>IF(Roster!B8="","",Roster!B8)</f>
        <v/>
      </c>
      <c r="C21" s="10" t="str">
        <f>IF(Roster!C8="","",Roster!C8)</f>
        <v>Ethan Hu</v>
      </c>
      <c r="D21" s="8" cm="1">
        <f t="array" ref="D21">SUMPRODUCT(('Player Game Log'!$E$4:$E$603=C21)*('Player Game Log'!$A$4:$A$603&gt;0)*--_xlfn.BYROW('Player Game Log'!$F$4:$P$603,_xlfn.LAMBDA(_xlpm.r,SUM(--(_xlpm.r&lt;&gt;""))&gt;0)))</f>
        <v>3</v>
      </c>
      <c r="E21" s="8">
        <f>IF($D21=0,"",SUMIFS('Player Game Log'!$T$4:$T$603,'Player Game Log'!$E$4:$E$603,C21))</f>
        <v>4</v>
      </c>
      <c r="F21" s="23">
        <f t="shared" si="0"/>
        <v>1.3333333333333333</v>
      </c>
      <c r="G21" s="8">
        <f>IF($D21=0,"",SUMIFS('Player Game Log'!$F$4:$F$603,'Player Game Log'!$E$4:$E$603,C21))</f>
        <v>0</v>
      </c>
      <c r="H21" s="8">
        <f>IF($D21=0,"",SUMIFS('Player Game Log'!$G$4:$G$603,'Player Game Log'!$E$4:$E$603,C21))</f>
        <v>4</v>
      </c>
      <c r="I21" s="24">
        <f t="shared" si="1"/>
        <v>0</v>
      </c>
      <c r="J21" s="8">
        <f>IF($D21=0,"",SUMIFS('Player Game Log'!$H$4:$H$603,'Player Game Log'!$E$4:$E$603,C21))</f>
        <v>1</v>
      </c>
      <c r="K21" s="8">
        <f>IF($D21=0,"",SUMIFS('Player Game Log'!$I$4:$I$603,'Player Game Log'!$E$4:$E$603,C21))</f>
        <v>11</v>
      </c>
      <c r="L21" s="24">
        <f t="shared" si="2"/>
        <v>9.0909090909090912E-2</v>
      </c>
      <c r="M21" s="8">
        <f>IF($D21=0,"",SUMIFS('Player Game Log'!$R$4:$R$603,'Player Game Log'!$E$4:$E$603,C21))</f>
        <v>1</v>
      </c>
      <c r="N21" s="8">
        <f>IF($D21=0,"",SUMIFS('Player Game Log'!$S$4:$S$603,'Player Game Log'!$E$4:$E$603,C21))</f>
        <v>15</v>
      </c>
      <c r="O21" s="24">
        <f t="shared" si="3"/>
        <v>6.6666666666666666E-2</v>
      </c>
      <c r="P21" s="8">
        <f>IF($D21=0,"",SUMIFS('Player Game Log'!$J$4:$J$603,'Player Game Log'!$E$4:$E$603,C21))</f>
        <v>1</v>
      </c>
      <c r="Q21" s="8">
        <f>IF($D21=0,"",SUMIFS('Player Game Log'!$K$4:$K$603,'Player Game Log'!$E$4:$E$603,C21))</f>
        <v>2</v>
      </c>
      <c r="R21" s="24">
        <f t="shared" si="4"/>
        <v>0.5</v>
      </c>
      <c r="S21" s="8">
        <f>IF($D21=0,"",SUMIFS('Player Game Log'!$L$4:$L$603,'Player Game Log'!$E$4:$E$603,C21))</f>
        <v>8</v>
      </c>
      <c r="T21" s="8">
        <f>IF($D21=0,"",SUMIFS('Player Game Log'!$M$4:$M$603,'Player Game Log'!$E$4:$E$603,C21))</f>
        <v>3</v>
      </c>
      <c r="U21" s="27">
        <f t="shared" si="5"/>
        <v>11</v>
      </c>
      <c r="V21" s="23">
        <f t="shared" si="6"/>
        <v>3.6666666666666665</v>
      </c>
      <c r="W21" s="8">
        <f>IF($D21=0,"",SUMIFS('Player Game Log'!$N$4:$N$603,'Player Game Log'!$E$4:$E$603,C21))</f>
        <v>1</v>
      </c>
      <c r="X21" s="8">
        <f>IF($D21=0,"",SUMIFS('Player Game Log'!$O$4:$O$603,'Player Game Log'!$E$4:$E$603,C21))</f>
        <v>4</v>
      </c>
      <c r="Y21" s="8">
        <f>IF($D21=0,"",SUMIFS('Player Game Log'!$P$4:$P$603,'Player Game Log'!$E$4:$E$603,C21))</f>
        <v>0</v>
      </c>
      <c r="Z21" s="8">
        <f>IF($D21=0,"",SUMIFS('Player Game Log'!$Q$4:$Q$603,'Player Game Log'!$E$4:$E$603,C21))</f>
        <v>0</v>
      </c>
      <c r="AA21" s="27">
        <f t="shared" si="7"/>
        <v>0</v>
      </c>
      <c r="AB21" s="40" cm="1">
        <f t="array" ref="AB21">_xlfn.IFS(D21=0,"",W21+X21=0,"BALL WATCHER",X21=0,"PASSING GOD",W21=0,"BUTTER FINGERS",W21+X21&gt;0,W21/X21)</f>
        <v>0.25</v>
      </c>
      <c r="AC21" s="23">
        <f t="shared" si="8"/>
        <v>0</v>
      </c>
    </row>
    <row r="22" spans="1:29" ht="15" customHeight="1">
      <c r="A22" s="8">
        <f>Roster!A9</f>
        <v>5</v>
      </c>
      <c r="B22" s="8" t="str">
        <f>IF(Roster!B9="","",Roster!B9)</f>
        <v/>
      </c>
      <c r="C22" s="10" t="str">
        <f>IF(Roster!C9="","",Roster!C9)</f>
        <v>Kenny Liou</v>
      </c>
      <c r="D22" s="8" cm="1">
        <f t="array" ref="D22">SUMPRODUCT(('Player Game Log'!$E$4:$E$603=C22)*('Player Game Log'!$A$4:$A$603&gt;0)*--_xlfn.BYROW('Player Game Log'!$F$4:$P$603,_xlfn.LAMBDA(_xlpm.r,SUM(--(_xlpm.r&lt;&gt;""))&gt;0)))</f>
        <v>2</v>
      </c>
      <c r="E22" s="8">
        <f>IF($D22=0,"",SUMIFS('Player Game Log'!$T$4:$T$603,'Player Game Log'!$E$4:$E$603,C22))</f>
        <v>4</v>
      </c>
      <c r="F22" s="23">
        <f t="shared" si="0"/>
        <v>2</v>
      </c>
      <c r="G22" s="8">
        <f>IF($D22=0,"",SUMIFS('Player Game Log'!$F$4:$F$603,'Player Game Log'!$E$4:$E$603,C22))</f>
        <v>1</v>
      </c>
      <c r="H22" s="8">
        <f>IF($D22=0,"",SUMIFS('Player Game Log'!$G$4:$G$603,'Player Game Log'!$E$4:$E$603,C22))</f>
        <v>5</v>
      </c>
      <c r="I22" s="24">
        <f t="shared" si="1"/>
        <v>0.2</v>
      </c>
      <c r="J22" s="8">
        <f>IF($D22=0,"",SUMIFS('Player Game Log'!$H$4:$H$603,'Player Game Log'!$E$4:$E$603,C22))</f>
        <v>0</v>
      </c>
      <c r="K22" s="8">
        <f>IF($D22=0,"",SUMIFS('Player Game Log'!$I$4:$I$603,'Player Game Log'!$E$4:$E$603,C22))</f>
        <v>1</v>
      </c>
      <c r="L22" s="24">
        <f t="shared" si="2"/>
        <v>0</v>
      </c>
      <c r="M22" s="8">
        <f>IF($D22=0,"",SUMIFS('Player Game Log'!$R$4:$R$603,'Player Game Log'!$E$4:$E$603,C22))</f>
        <v>1</v>
      </c>
      <c r="N22" s="8">
        <f>IF($D22=0,"",SUMIFS('Player Game Log'!$S$4:$S$603,'Player Game Log'!$E$4:$E$603,C22))</f>
        <v>6</v>
      </c>
      <c r="O22" s="24">
        <f t="shared" si="3"/>
        <v>0.16666666666666666</v>
      </c>
      <c r="P22" s="8">
        <f>IF($D22=0,"",SUMIFS('Player Game Log'!$J$4:$J$603,'Player Game Log'!$E$4:$E$603,C22))</f>
        <v>2</v>
      </c>
      <c r="Q22" s="8">
        <f>IF($D22=0,"",SUMIFS('Player Game Log'!$K$4:$K$603,'Player Game Log'!$E$4:$E$603,C22))</f>
        <v>3</v>
      </c>
      <c r="R22" s="24">
        <f t="shared" si="4"/>
        <v>0.66666666666666663</v>
      </c>
      <c r="S22" s="8">
        <f>IF($D22=0,"",SUMIFS('Player Game Log'!$L$4:$L$603,'Player Game Log'!$E$4:$E$603,C22))</f>
        <v>8</v>
      </c>
      <c r="T22" s="8">
        <f>IF($D22=0,"",SUMIFS('Player Game Log'!$M$4:$M$603,'Player Game Log'!$E$4:$E$603,C22))</f>
        <v>6</v>
      </c>
      <c r="U22" s="27">
        <f t="shared" si="5"/>
        <v>14</v>
      </c>
      <c r="V22" s="23">
        <f t="shared" si="6"/>
        <v>7</v>
      </c>
      <c r="W22" s="8">
        <f>IF($D22=0,"",SUMIFS('Player Game Log'!$N$4:$N$603,'Player Game Log'!$E$4:$E$603,C22))</f>
        <v>2</v>
      </c>
      <c r="X22" s="8">
        <f>IF($D22=0,"",SUMIFS('Player Game Log'!$O$4:$O$603,'Player Game Log'!$E$4:$E$603,C22))</f>
        <v>1</v>
      </c>
      <c r="Y22" s="8">
        <f>IF($D22=0,"",SUMIFS('Player Game Log'!$P$4:$P$603,'Player Game Log'!$E$4:$E$603,C22))</f>
        <v>3</v>
      </c>
      <c r="Z22" s="8">
        <f>IF($D22=0,"",SUMIFS('Player Game Log'!$Q$4:$Q$603,'Player Game Log'!$E$4:$E$603,C22))</f>
        <v>0</v>
      </c>
      <c r="AA22" s="27">
        <f t="shared" si="7"/>
        <v>3</v>
      </c>
      <c r="AB22" s="40" cm="1">
        <f t="array" ref="AB22">_xlfn.IFS(D22=0,"",W22+X22=0,"BALL WATCHER",X22=0,"PASSING GOD",W22=0,"BUTTER FINGERS",W22+X22&gt;0,W22/X22)</f>
        <v>2</v>
      </c>
      <c r="AC22" s="23">
        <f t="shared" si="8"/>
        <v>1.5</v>
      </c>
    </row>
    <row r="23" spans="1:29" ht="15" customHeight="1">
      <c r="A23" s="8">
        <f>Roster!A10</f>
        <v>6</v>
      </c>
      <c r="B23" s="8" t="str">
        <f>IF(Roster!B10="","",Roster!B10)</f>
        <v/>
      </c>
      <c r="C23" s="10" t="str">
        <f>IF(Roster!C10="","",Roster!C10)</f>
        <v>Max Lee</v>
      </c>
      <c r="D23" s="8" cm="1">
        <f t="array" ref="D23">SUMPRODUCT(('Player Game Log'!$E$4:$E$603=C23)*('Player Game Log'!$A$4:$A$603&gt;0)*--_xlfn.BYROW('Player Game Log'!$F$4:$P$603,_xlfn.LAMBDA(_xlpm.r,SUM(--(_xlpm.r&lt;&gt;""))&gt;0)))</f>
        <v>2</v>
      </c>
      <c r="E23" s="8">
        <f>IF($D23=0,"",SUMIFS('Player Game Log'!$T$4:$T$603,'Player Game Log'!$E$4:$E$603,C23))</f>
        <v>0</v>
      </c>
      <c r="F23" s="23">
        <f t="shared" si="0"/>
        <v>0</v>
      </c>
      <c r="G23" s="8">
        <f>IF($D23=0,"",SUMIFS('Player Game Log'!$F$4:$F$603,'Player Game Log'!$E$4:$E$603,C23))</f>
        <v>0</v>
      </c>
      <c r="H23" s="8">
        <f>IF($D23=0,"",SUMIFS('Player Game Log'!$G$4:$G$603,'Player Game Log'!$E$4:$E$603,C23))</f>
        <v>1</v>
      </c>
      <c r="I23" s="24">
        <f t="shared" si="1"/>
        <v>0</v>
      </c>
      <c r="J23" s="8">
        <f>IF($D23=0,"",SUMIFS('Player Game Log'!$H$4:$H$603,'Player Game Log'!$E$4:$E$603,C23))</f>
        <v>0</v>
      </c>
      <c r="K23" s="8">
        <f>IF($D23=0,"",SUMIFS('Player Game Log'!$I$4:$I$603,'Player Game Log'!$E$4:$E$603,C23))</f>
        <v>10</v>
      </c>
      <c r="L23" s="24">
        <f t="shared" si="2"/>
        <v>0</v>
      </c>
      <c r="M23" s="8">
        <f>IF($D23=0,"",SUMIFS('Player Game Log'!$R$4:$R$603,'Player Game Log'!$E$4:$E$603,C23))</f>
        <v>0</v>
      </c>
      <c r="N23" s="8">
        <f>IF($D23=0,"",SUMIFS('Player Game Log'!$S$4:$S$603,'Player Game Log'!$E$4:$E$603,C23))</f>
        <v>11</v>
      </c>
      <c r="O23" s="24">
        <f t="shared" si="3"/>
        <v>0</v>
      </c>
      <c r="P23" s="8">
        <f>IF($D23=0,"",SUMIFS('Player Game Log'!$J$4:$J$603,'Player Game Log'!$E$4:$E$603,C23))</f>
        <v>0</v>
      </c>
      <c r="Q23" s="8">
        <f>IF($D23=0,"",SUMIFS('Player Game Log'!$K$4:$K$603,'Player Game Log'!$E$4:$E$603,C23))</f>
        <v>0</v>
      </c>
      <c r="R23" s="24" t="str">
        <f t="shared" si="4"/>
        <v/>
      </c>
      <c r="S23" s="8">
        <f>IF($D23=0,"",SUMIFS('Player Game Log'!$L$4:$L$603,'Player Game Log'!$E$4:$E$603,C23))</f>
        <v>5</v>
      </c>
      <c r="T23" s="8">
        <f>IF($D23=0,"",SUMIFS('Player Game Log'!$M$4:$M$603,'Player Game Log'!$E$4:$E$603,C23))</f>
        <v>3</v>
      </c>
      <c r="U23" s="27">
        <f t="shared" si="5"/>
        <v>8</v>
      </c>
      <c r="V23" s="23">
        <f t="shared" si="6"/>
        <v>4</v>
      </c>
      <c r="W23" s="8">
        <f>IF($D23=0,"",SUMIFS('Player Game Log'!$N$4:$N$603,'Player Game Log'!$E$4:$E$603,C23))</f>
        <v>1</v>
      </c>
      <c r="X23" s="8">
        <f>IF($D23=0,"",SUMIFS('Player Game Log'!$O$4:$O$603,'Player Game Log'!$E$4:$E$603,C23))</f>
        <v>2</v>
      </c>
      <c r="Y23" s="8">
        <f>IF($D23=0,"",SUMIFS('Player Game Log'!$P$4:$P$603,'Player Game Log'!$E$4:$E$603,C23))</f>
        <v>1</v>
      </c>
      <c r="Z23" s="8">
        <f>IF($D23=0,"",SUMIFS('Player Game Log'!$Q$4:$Q$603,'Player Game Log'!$E$4:$E$603,C23))</f>
        <v>0</v>
      </c>
      <c r="AA23" s="27">
        <f t="shared" si="7"/>
        <v>1</v>
      </c>
      <c r="AB23" s="40" cm="1">
        <f t="array" ref="AB23">_xlfn.IFS(D23=0,"",W23+X23=0,"BALL WATCHER",X23=0,"PASSING GOD",W23=0,"BUTTER FINGERS",W23+X23&gt;0,W23/X23)</f>
        <v>0.5</v>
      </c>
      <c r="AC23" s="23">
        <f t="shared" si="8"/>
        <v>0.5</v>
      </c>
    </row>
    <row r="24" spans="1:29" ht="15" customHeight="1">
      <c r="A24" s="8">
        <f>Roster!A11</f>
        <v>7</v>
      </c>
      <c r="B24" s="8" t="str">
        <f>IF(Roster!B11="","",Roster!B11)</f>
        <v/>
      </c>
      <c r="C24" s="10" t="str">
        <f>IF(Roster!C11="","",Roster!C11)</f>
        <v>Xuanyi W</v>
      </c>
      <c r="D24" s="8" cm="1">
        <f t="array" ref="D24">SUMPRODUCT(('Player Game Log'!$E$4:$E$603=C24)*('Player Game Log'!$A$4:$A$603&gt;0)*--_xlfn.BYROW('Player Game Log'!$F$4:$P$603,_xlfn.LAMBDA(_xlpm.r,SUM(--(_xlpm.r&lt;&gt;""))&gt;0)))</f>
        <v>2</v>
      </c>
      <c r="E24" s="8">
        <f>IF($D24=0,"",SUMIFS('Player Game Log'!$T$4:$T$603,'Player Game Log'!$E$4:$E$603,C24))</f>
        <v>5</v>
      </c>
      <c r="F24" s="23">
        <f t="shared" si="0"/>
        <v>2.5</v>
      </c>
      <c r="G24" s="8">
        <f>IF($D24=0,"",SUMIFS('Player Game Log'!$F$4:$F$603,'Player Game Log'!$E$4:$E$603,C24))</f>
        <v>1</v>
      </c>
      <c r="H24" s="8">
        <f>IF($D24=0,"",SUMIFS('Player Game Log'!$G$4:$G$603,'Player Game Log'!$E$4:$E$603,C24))</f>
        <v>2</v>
      </c>
      <c r="I24" s="24">
        <f t="shared" si="1"/>
        <v>0.5</v>
      </c>
      <c r="J24" s="8">
        <f>IF($D24=0,"",SUMIFS('Player Game Log'!$H$4:$H$603,'Player Game Log'!$E$4:$E$603,C24))</f>
        <v>1</v>
      </c>
      <c r="K24" s="8">
        <f>IF($D24=0,"",SUMIFS('Player Game Log'!$I$4:$I$603,'Player Game Log'!$E$4:$E$603,C24))</f>
        <v>3</v>
      </c>
      <c r="L24" s="24">
        <f t="shared" si="2"/>
        <v>0.33333333333333331</v>
      </c>
      <c r="M24" s="8">
        <f>IF($D24=0,"",SUMIFS('Player Game Log'!$R$4:$R$603,'Player Game Log'!$E$4:$E$603,C24))</f>
        <v>2</v>
      </c>
      <c r="N24" s="8">
        <f>IF($D24=0,"",SUMIFS('Player Game Log'!$S$4:$S$603,'Player Game Log'!$E$4:$E$603,C24))</f>
        <v>5</v>
      </c>
      <c r="O24" s="24">
        <f t="shared" si="3"/>
        <v>0.4</v>
      </c>
      <c r="P24" s="8">
        <f>IF($D24=0,"",SUMIFS('Player Game Log'!$J$4:$J$603,'Player Game Log'!$E$4:$E$603,C24))</f>
        <v>0</v>
      </c>
      <c r="Q24" s="8">
        <f>IF($D24=0,"",SUMIFS('Player Game Log'!$K$4:$K$603,'Player Game Log'!$E$4:$E$603,C24))</f>
        <v>0</v>
      </c>
      <c r="R24" s="24" t="str">
        <f t="shared" si="4"/>
        <v/>
      </c>
      <c r="S24" s="8">
        <f>IF($D24=0,"",SUMIFS('Player Game Log'!$L$4:$L$603,'Player Game Log'!$E$4:$E$603,C24))</f>
        <v>4</v>
      </c>
      <c r="T24" s="8">
        <f>IF($D24=0,"",SUMIFS('Player Game Log'!$M$4:$M$603,'Player Game Log'!$E$4:$E$603,C24))</f>
        <v>1</v>
      </c>
      <c r="U24" s="27">
        <f t="shared" si="5"/>
        <v>5</v>
      </c>
      <c r="V24" s="23">
        <f t="shared" si="6"/>
        <v>2.5</v>
      </c>
      <c r="W24" s="8">
        <f>IF($D24=0,"",SUMIFS('Player Game Log'!$N$4:$N$603,'Player Game Log'!$E$4:$E$603,C24))</f>
        <v>0</v>
      </c>
      <c r="X24" s="8">
        <f>IF($D24=0,"",SUMIFS('Player Game Log'!$O$4:$O$603,'Player Game Log'!$E$4:$E$603,C24))</f>
        <v>0</v>
      </c>
      <c r="Y24" s="8">
        <f>IF($D24=0,"",SUMIFS('Player Game Log'!$P$4:$P$603,'Player Game Log'!$E$4:$E$603,C24))</f>
        <v>1</v>
      </c>
      <c r="Z24" s="8">
        <f>IF($D24=0,"",SUMIFS('Player Game Log'!$Q$4:$Q$603,'Player Game Log'!$E$4:$E$603,C24))</f>
        <v>0</v>
      </c>
      <c r="AA24" s="27">
        <f t="shared" si="7"/>
        <v>1</v>
      </c>
      <c r="AB24" s="40" t="str" cm="1">
        <f t="array" ref="AB24">_xlfn.IFS(D24=0,"",W24+X24=0,"BALL WATCHER",X24=0,"PASSING GOD",W24=0,"BUTTER FINGERS",W24+X24&gt;0,W24/X24)</f>
        <v>BALL WATCHER</v>
      </c>
      <c r="AC24" s="23">
        <f t="shared" si="8"/>
        <v>0.5</v>
      </c>
    </row>
    <row r="25" spans="1:29" ht="15" customHeight="1">
      <c r="A25" s="8">
        <f>Roster!A12</f>
        <v>8</v>
      </c>
      <c r="B25" s="8" t="str">
        <f>IF(Roster!B12="","",Roster!B12)</f>
        <v/>
      </c>
      <c r="C25" s="10" t="str">
        <f>IF(Roster!C12="","",Roster!C12)</f>
        <v>Markus Wong</v>
      </c>
      <c r="D25" s="8" cm="1">
        <f t="array" ref="D25">SUMPRODUCT(('Player Game Log'!$E$4:$E$603=C25)*('Player Game Log'!$A$4:$A$603&gt;0)*--_xlfn.BYROW('Player Game Log'!$F$4:$P$603,_xlfn.LAMBDA(_xlpm.r,SUM(--(_xlpm.r&lt;&gt;""))&gt;0)))</f>
        <v>2</v>
      </c>
      <c r="E25" s="8">
        <f>IF($D25=0,"",SUMIFS('Player Game Log'!$T$4:$T$603,'Player Game Log'!$E$4:$E$603,C25))</f>
        <v>0</v>
      </c>
      <c r="F25" s="23">
        <f t="shared" si="0"/>
        <v>0</v>
      </c>
      <c r="G25" s="8">
        <f>IF($D25=0,"",SUMIFS('Player Game Log'!$F$4:$F$603,'Player Game Log'!$E$4:$E$603,C25))</f>
        <v>0</v>
      </c>
      <c r="H25" s="8">
        <f>IF($D25=0,"",SUMIFS('Player Game Log'!$G$4:$G$603,'Player Game Log'!$E$4:$E$603,C25))</f>
        <v>2</v>
      </c>
      <c r="I25" s="24">
        <f t="shared" si="1"/>
        <v>0</v>
      </c>
      <c r="J25" s="8">
        <f>IF($D25=0,"",SUMIFS('Player Game Log'!$H$4:$H$603,'Player Game Log'!$E$4:$E$603,C25))</f>
        <v>0</v>
      </c>
      <c r="K25" s="8">
        <f>IF($D25=0,"",SUMIFS('Player Game Log'!$I$4:$I$603,'Player Game Log'!$E$4:$E$603,C25))</f>
        <v>0</v>
      </c>
      <c r="L25" s="24" t="str">
        <f t="shared" si="2"/>
        <v/>
      </c>
      <c r="M25" s="8">
        <f>IF($D25=0,"",SUMIFS('Player Game Log'!$R$4:$R$603,'Player Game Log'!$E$4:$E$603,C25))</f>
        <v>0</v>
      </c>
      <c r="N25" s="8">
        <f>IF($D25=0,"",SUMIFS('Player Game Log'!$S$4:$S$603,'Player Game Log'!$E$4:$E$603,C25))</f>
        <v>2</v>
      </c>
      <c r="O25" s="24">
        <f t="shared" si="3"/>
        <v>0</v>
      </c>
      <c r="P25" s="8">
        <f>IF($D25=0,"",SUMIFS('Player Game Log'!$J$4:$J$603,'Player Game Log'!$E$4:$E$603,C25))</f>
        <v>0</v>
      </c>
      <c r="Q25" s="8">
        <f>IF($D25=0,"",SUMIFS('Player Game Log'!$K$4:$K$603,'Player Game Log'!$E$4:$E$603,C25))</f>
        <v>0</v>
      </c>
      <c r="R25" s="24" t="str">
        <f t="shared" si="4"/>
        <v/>
      </c>
      <c r="S25" s="8">
        <f>IF($D25=0,"",SUMIFS('Player Game Log'!$L$4:$L$603,'Player Game Log'!$E$4:$E$603,C25))</f>
        <v>0</v>
      </c>
      <c r="T25" s="8">
        <f>IF($D25=0,"",SUMIFS('Player Game Log'!$M$4:$M$603,'Player Game Log'!$E$4:$E$603,C25))</f>
        <v>0</v>
      </c>
      <c r="U25" s="27">
        <f t="shared" si="5"/>
        <v>0</v>
      </c>
      <c r="V25" s="23">
        <f t="shared" si="6"/>
        <v>0</v>
      </c>
      <c r="W25" s="8">
        <f>IF($D25=0,"",SUMIFS('Player Game Log'!$N$4:$N$603,'Player Game Log'!$E$4:$E$603,C25))</f>
        <v>0</v>
      </c>
      <c r="X25" s="8">
        <f>IF($D25=0,"",SUMIFS('Player Game Log'!$O$4:$O$603,'Player Game Log'!$E$4:$E$603,C25))</f>
        <v>1</v>
      </c>
      <c r="Y25" s="8">
        <f>IF($D25=0,"",SUMIFS('Player Game Log'!$P$4:$P$603,'Player Game Log'!$E$4:$E$603,C25))</f>
        <v>0</v>
      </c>
      <c r="Z25" s="8">
        <f>IF($D25=0,"",SUMIFS('Player Game Log'!$Q$4:$Q$603,'Player Game Log'!$E$4:$E$603,C25))</f>
        <v>0</v>
      </c>
      <c r="AA25" s="27">
        <f t="shared" si="7"/>
        <v>0</v>
      </c>
      <c r="AB25" s="40" t="str" cm="1">
        <f t="array" ref="AB25">_xlfn.IFS(D25=0,"",W25+X25=0,"BALL WATCHER",X25=0,"PASSING GOD",W25=0,"BUTTER FINGERS",W25+X25&gt;0,W25/X25)</f>
        <v>BUTTER FINGERS</v>
      </c>
      <c r="AC25" s="23">
        <f t="shared" si="8"/>
        <v>0</v>
      </c>
    </row>
    <row r="26" spans="1:29" ht="15" customHeight="1">
      <c r="A26" s="8">
        <f>Roster!A13</f>
        <v>9</v>
      </c>
      <c r="B26" s="8" t="str">
        <f>IF(Roster!B13="","",Roster!B13)</f>
        <v/>
      </c>
      <c r="C26" s="10" t="str">
        <f>IF(Roster!C13="","",Roster!C13)</f>
        <v>Thomas N</v>
      </c>
      <c r="D26" s="8" cm="1">
        <f t="array" ref="D26">SUMPRODUCT(('Player Game Log'!$E$4:$E$603=C26)*('Player Game Log'!$A$4:$A$603&gt;0)*--_xlfn.BYROW('Player Game Log'!$F$4:$P$603,_xlfn.LAMBDA(_xlpm.r,SUM(--(_xlpm.r&lt;&gt;""))&gt;0)))</f>
        <v>3</v>
      </c>
      <c r="E26" s="8">
        <f>IF($D26=0,"",SUMIFS('Player Game Log'!$T$4:$T$603,'Player Game Log'!$E$4:$E$603,C26))</f>
        <v>3</v>
      </c>
      <c r="F26" s="23">
        <f t="shared" si="0"/>
        <v>1</v>
      </c>
      <c r="G26" s="8">
        <f>IF($D26=0,"",SUMIFS('Player Game Log'!$F$4:$F$603,'Player Game Log'!$E$4:$E$603,C26))</f>
        <v>0</v>
      </c>
      <c r="H26" s="8">
        <f>IF($D26=0,"",SUMIFS('Player Game Log'!$G$4:$G$603,'Player Game Log'!$E$4:$E$603,C26))</f>
        <v>4</v>
      </c>
      <c r="I26" s="24">
        <f t="shared" si="1"/>
        <v>0</v>
      </c>
      <c r="J26" s="8">
        <f>IF($D26=0,"",SUMIFS('Player Game Log'!$H$4:$H$603,'Player Game Log'!$E$4:$E$603,C26))</f>
        <v>1</v>
      </c>
      <c r="K26" s="8">
        <f>IF($D26=0,"",SUMIFS('Player Game Log'!$I$4:$I$603,'Player Game Log'!$E$4:$E$603,C26))</f>
        <v>6</v>
      </c>
      <c r="L26" s="24">
        <f t="shared" si="2"/>
        <v>0.16666666666666666</v>
      </c>
      <c r="M26" s="8">
        <f>IF($D26=0,"",SUMIFS('Player Game Log'!$R$4:$R$603,'Player Game Log'!$E$4:$E$603,C26))</f>
        <v>1</v>
      </c>
      <c r="N26" s="8">
        <f>IF($D26=0,"",SUMIFS('Player Game Log'!$S$4:$S$603,'Player Game Log'!$E$4:$E$603,C26))</f>
        <v>10</v>
      </c>
      <c r="O26" s="24">
        <f t="shared" si="3"/>
        <v>0.1</v>
      </c>
      <c r="P26" s="8">
        <f>IF($D26=0,"",SUMIFS('Player Game Log'!$J$4:$J$603,'Player Game Log'!$E$4:$E$603,C26))</f>
        <v>0</v>
      </c>
      <c r="Q26" s="8">
        <f>IF($D26=0,"",SUMIFS('Player Game Log'!$K$4:$K$603,'Player Game Log'!$E$4:$E$603,C26))</f>
        <v>0</v>
      </c>
      <c r="R26" s="24" t="str">
        <f t="shared" si="4"/>
        <v/>
      </c>
      <c r="S26" s="8">
        <f>IF($D26=0,"",SUMIFS('Player Game Log'!$L$4:$L$603,'Player Game Log'!$E$4:$E$603,C26))</f>
        <v>1</v>
      </c>
      <c r="T26" s="8">
        <f>IF($D26=0,"",SUMIFS('Player Game Log'!$M$4:$M$603,'Player Game Log'!$E$4:$E$603,C26))</f>
        <v>2</v>
      </c>
      <c r="U26" s="27">
        <f t="shared" si="5"/>
        <v>3</v>
      </c>
      <c r="V26" s="23">
        <f t="shared" si="6"/>
        <v>1</v>
      </c>
      <c r="W26" s="8">
        <f>IF($D26=0,"",SUMIFS('Player Game Log'!$N$4:$N$603,'Player Game Log'!$E$4:$E$603,C26))</f>
        <v>1</v>
      </c>
      <c r="X26" s="8">
        <f>IF($D26=0,"",SUMIFS('Player Game Log'!$O$4:$O$603,'Player Game Log'!$E$4:$E$603,C26))</f>
        <v>0</v>
      </c>
      <c r="Y26" s="8">
        <f>IF($D26=0,"",SUMIFS('Player Game Log'!$P$4:$P$603,'Player Game Log'!$E$4:$E$603,C26))</f>
        <v>0</v>
      </c>
      <c r="Z26" s="8">
        <f>IF($D26=0,"",SUMIFS('Player Game Log'!$Q$4:$Q$603,'Player Game Log'!$E$4:$E$603,C26))</f>
        <v>0</v>
      </c>
      <c r="AA26" s="27">
        <f t="shared" si="7"/>
        <v>0</v>
      </c>
      <c r="AB26" s="40" t="str" cm="1">
        <f t="array" ref="AB26">_xlfn.IFS(D26=0,"",W26+X26=0,"BALL WATCHER",X26=0,"PASSING GOD",W26=0,"BUTTER FINGERS",W26+X26&gt;0,W26/X26)</f>
        <v>PASSING GOD</v>
      </c>
      <c r="AC26" s="23">
        <f t="shared" si="8"/>
        <v>0</v>
      </c>
    </row>
    <row r="27" spans="1:29" ht="15" customHeight="1">
      <c r="A27" s="8">
        <f>Roster!A14</f>
        <v>10</v>
      </c>
      <c r="B27" s="8" t="str">
        <f>IF(Roster!B14="","",Roster!B14)</f>
        <v/>
      </c>
      <c r="C27" s="10" t="str">
        <f>IF(Roster!C14="","",Roster!C14)</f>
        <v>Arjun V</v>
      </c>
      <c r="D27" s="8" cm="1">
        <f t="array" ref="D27">SUMPRODUCT(('Player Game Log'!$E$4:$E$603=C27)*('Player Game Log'!$A$4:$A$603&gt;0)*--_xlfn.BYROW('Player Game Log'!$F$4:$P$603,_xlfn.LAMBDA(_xlpm.r,SUM(--(_xlpm.r&lt;&gt;""))&gt;0)))</f>
        <v>3</v>
      </c>
      <c r="E27" s="8">
        <f>IF($D27=0,"",SUMIFS('Player Game Log'!$T$4:$T$603,'Player Game Log'!$E$4:$E$603,C27))</f>
        <v>40</v>
      </c>
      <c r="F27" s="23">
        <f t="shared" si="0"/>
        <v>13.333333333333334</v>
      </c>
      <c r="G27" s="8">
        <f>IF($D27=0,"",SUMIFS('Player Game Log'!$F$4:$F$603,'Player Game Log'!$E$4:$E$603,C27))</f>
        <v>7</v>
      </c>
      <c r="H27" s="8">
        <f>IF($D27=0,"",SUMIFS('Player Game Log'!$G$4:$G$603,'Player Game Log'!$E$4:$E$603,C27))</f>
        <v>24</v>
      </c>
      <c r="I27" s="24">
        <f t="shared" si="1"/>
        <v>0.29166666666666669</v>
      </c>
      <c r="J27" s="8">
        <f>IF($D27=0,"",SUMIFS('Player Game Log'!$H$4:$H$603,'Player Game Log'!$E$4:$E$603,C27))</f>
        <v>7</v>
      </c>
      <c r="K27" s="8">
        <f>IF($D27=0,"",SUMIFS('Player Game Log'!$I$4:$I$603,'Player Game Log'!$E$4:$E$603,C27))</f>
        <v>28</v>
      </c>
      <c r="L27" s="24">
        <f t="shared" si="2"/>
        <v>0.25</v>
      </c>
      <c r="M27" s="8">
        <f>IF($D27=0,"",SUMIFS('Player Game Log'!$R$4:$R$603,'Player Game Log'!$E$4:$E$603,C27))</f>
        <v>14</v>
      </c>
      <c r="N27" s="8">
        <f>IF($D27=0,"",SUMIFS('Player Game Log'!$S$4:$S$603,'Player Game Log'!$E$4:$E$603,C27))</f>
        <v>52</v>
      </c>
      <c r="O27" s="24">
        <f t="shared" si="3"/>
        <v>0.26923076923076922</v>
      </c>
      <c r="P27" s="8">
        <f>IF($D27=0,"",SUMIFS('Player Game Log'!$J$4:$J$603,'Player Game Log'!$E$4:$E$603,C27))</f>
        <v>5</v>
      </c>
      <c r="Q27" s="8">
        <f>IF($D27=0,"",SUMIFS('Player Game Log'!$K$4:$K$603,'Player Game Log'!$E$4:$E$603,C27))</f>
        <v>5</v>
      </c>
      <c r="R27" s="24">
        <f t="shared" si="4"/>
        <v>1</v>
      </c>
      <c r="S27" s="8">
        <f>IF($D27=0,"",SUMIFS('Player Game Log'!$L$4:$L$603,'Player Game Log'!$E$4:$E$603,C27))</f>
        <v>9</v>
      </c>
      <c r="T27" s="8">
        <f>IF($D27=0,"",SUMIFS('Player Game Log'!$M$4:$M$603,'Player Game Log'!$E$4:$E$603,C27))</f>
        <v>1</v>
      </c>
      <c r="U27" s="27">
        <f t="shared" si="5"/>
        <v>10</v>
      </c>
      <c r="V27" s="23">
        <f t="shared" si="6"/>
        <v>3.3333333333333335</v>
      </c>
      <c r="W27" s="8">
        <f>IF($D27=0,"",SUMIFS('Player Game Log'!$N$4:$N$603,'Player Game Log'!$E$4:$E$603,C27))</f>
        <v>3</v>
      </c>
      <c r="X27" s="8">
        <f>IF($D27=0,"",SUMIFS('Player Game Log'!$O$4:$O$603,'Player Game Log'!$E$4:$E$603,C27))</f>
        <v>8</v>
      </c>
      <c r="Y27" s="8">
        <f>IF($D27=0,"",SUMIFS('Player Game Log'!$P$4:$P$603,'Player Game Log'!$E$4:$E$603,C27))</f>
        <v>4</v>
      </c>
      <c r="Z27" s="8">
        <f>IF($D27=0,"",SUMIFS('Player Game Log'!$Q$4:$Q$603,'Player Game Log'!$E$4:$E$603,C27))</f>
        <v>1</v>
      </c>
      <c r="AA27" s="27">
        <f t="shared" si="7"/>
        <v>5</v>
      </c>
      <c r="AB27" s="40" cm="1">
        <f t="array" ref="AB27">_xlfn.IFS(D27=0,"",W27+X27=0,"BALL WATCHER",X27=0,"PASSING GOD",W27=0,"BUTTER FINGERS",W27+X27&gt;0,W27/X27)</f>
        <v>0.375</v>
      </c>
      <c r="AC27" s="23">
        <f t="shared" si="8"/>
        <v>1.6666666666666667</v>
      </c>
    </row>
    <row r="28" spans="1:29" ht="15" customHeight="1">
      <c r="A28" s="8">
        <f>Roster!A15</f>
        <v>11</v>
      </c>
      <c r="B28" s="8" t="str">
        <f>IF(Roster!B15="","",Roster!B15)</f>
        <v/>
      </c>
      <c r="C28" s="10" t="str">
        <f>IF(Roster!C15="","",Roster!C15)</f>
        <v>Yash S</v>
      </c>
      <c r="D28" s="8" cm="1">
        <f t="array" ref="D28">SUMPRODUCT(('Player Game Log'!$E$4:$E$603=C28)*('Player Game Log'!$A$4:$A$603&gt;0)*--_xlfn.BYROW('Player Game Log'!$F$4:$P$603,_xlfn.LAMBDA(_xlpm.r,SUM(--(_xlpm.r&lt;&gt;""))&gt;0)))</f>
        <v>1</v>
      </c>
      <c r="E28" s="8">
        <f>IF($D28=0,"",SUMIFS('Player Game Log'!$T$4:$T$603,'Player Game Log'!$E$4:$E$603,C28))</f>
        <v>6</v>
      </c>
      <c r="F28" s="23">
        <f t="shared" si="0"/>
        <v>6</v>
      </c>
      <c r="G28" s="8">
        <f>IF($D28=0,"",SUMIFS('Player Game Log'!$F$4:$F$603,'Player Game Log'!$E$4:$E$603,C28))</f>
        <v>3</v>
      </c>
      <c r="H28" s="8">
        <f>IF($D28=0,"",SUMIFS('Player Game Log'!$G$4:$G$603,'Player Game Log'!$E$4:$E$603,C28))</f>
        <v>5</v>
      </c>
      <c r="I28" s="24">
        <f t="shared" si="1"/>
        <v>0.6</v>
      </c>
      <c r="J28" s="8">
        <f>IF($D28=0,"",SUMIFS('Player Game Log'!$H$4:$H$603,'Player Game Log'!$E$4:$E$603,C28))</f>
        <v>0</v>
      </c>
      <c r="K28" s="8">
        <f>IF($D28=0,"",SUMIFS('Player Game Log'!$I$4:$I$603,'Player Game Log'!$E$4:$E$603,C28))</f>
        <v>0</v>
      </c>
      <c r="L28" s="24" t="str">
        <f t="shared" si="2"/>
        <v/>
      </c>
      <c r="M28" s="8">
        <f>IF($D28=0,"",SUMIFS('Player Game Log'!$R$4:$R$603,'Player Game Log'!$E$4:$E$603,C28))</f>
        <v>3</v>
      </c>
      <c r="N28" s="8">
        <f>IF($D28=0,"",SUMIFS('Player Game Log'!$S$4:$S$603,'Player Game Log'!$E$4:$E$603,C28))</f>
        <v>5</v>
      </c>
      <c r="O28" s="24">
        <f t="shared" si="3"/>
        <v>0.6</v>
      </c>
      <c r="P28" s="8">
        <f>IF($D28=0,"",SUMIFS('Player Game Log'!$J$4:$J$603,'Player Game Log'!$E$4:$E$603,C28))</f>
        <v>0</v>
      </c>
      <c r="Q28" s="8">
        <f>IF($D28=0,"",SUMIFS('Player Game Log'!$K$4:$K$603,'Player Game Log'!$E$4:$E$603,C28))</f>
        <v>0</v>
      </c>
      <c r="R28" s="24" t="str">
        <f t="shared" si="4"/>
        <v/>
      </c>
      <c r="S28" s="8">
        <f>IF($D28=0,"",SUMIFS('Player Game Log'!$L$4:$L$603,'Player Game Log'!$E$4:$E$603,C28))</f>
        <v>1</v>
      </c>
      <c r="T28" s="8">
        <f>IF($D28=0,"",SUMIFS('Player Game Log'!$M$4:$M$603,'Player Game Log'!$E$4:$E$603,C28))</f>
        <v>0</v>
      </c>
      <c r="U28" s="27">
        <f t="shared" si="5"/>
        <v>1</v>
      </c>
      <c r="V28" s="23">
        <f t="shared" si="6"/>
        <v>1</v>
      </c>
      <c r="W28" s="8">
        <f>IF($D28=0,"",SUMIFS('Player Game Log'!$N$4:$N$603,'Player Game Log'!$E$4:$E$603,C28))</f>
        <v>0</v>
      </c>
      <c r="X28" s="8">
        <f>IF($D28=0,"",SUMIFS('Player Game Log'!$O$4:$O$603,'Player Game Log'!$E$4:$E$603,C28))</f>
        <v>0</v>
      </c>
      <c r="Y28" s="8">
        <f>IF($D28=0,"",SUMIFS('Player Game Log'!$P$4:$P$603,'Player Game Log'!$E$4:$E$603,C28))</f>
        <v>1</v>
      </c>
      <c r="Z28" s="8">
        <f>IF($D28=0,"",SUMIFS('Player Game Log'!$Q$4:$Q$603,'Player Game Log'!$E$4:$E$603,C28))</f>
        <v>1</v>
      </c>
      <c r="AA28" s="27">
        <f t="shared" si="7"/>
        <v>2</v>
      </c>
      <c r="AB28" s="40" t="str" cm="1">
        <f t="array" ref="AB28">_xlfn.IFS(D28=0,"",W28+X28=0,"BALL WATCHER",X28=0,"PASSING GOD",W28=0,"BUTTER FINGERS",W28+X28&gt;0,W28/X28)</f>
        <v>BALL WATCHER</v>
      </c>
      <c r="AC28" s="23">
        <f t="shared" si="8"/>
        <v>2</v>
      </c>
    </row>
    <row r="29" spans="1:29" ht="15" customHeight="1">
      <c r="A29" s="8">
        <f>Roster!A16</f>
        <v>12</v>
      </c>
      <c r="B29" s="8" t="str">
        <f>IF(Roster!B16="","",Roster!B16)</f>
        <v/>
      </c>
      <c r="C29" s="10" t="str">
        <f>IF(Roster!C16="","",Roster!C16)</f>
        <v>Will</v>
      </c>
      <c r="D29" s="8" cm="1">
        <f t="array" ref="D29">SUMPRODUCT(('Player Game Log'!$E$4:$E$603=C29)*('Player Game Log'!$A$4:$A$603&gt;0)*--_xlfn.BYROW('Player Game Log'!$F$4:$P$603,_xlfn.LAMBDA(_xlpm.r,SUM(--(_xlpm.r&lt;&gt;""))&gt;0)))</f>
        <v>2</v>
      </c>
      <c r="E29" s="8">
        <f>IF($D29=0,"",SUMIFS('Player Game Log'!$T$4:$T$603,'Player Game Log'!$E$4:$E$603,C29))</f>
        <v>0</v>
      </c>
      <c r="F29" s="23">
        <f t="shared" si="0"/>
        <v>0</v>
      </c>
      <c r="G29" s="8">
        <f>IF($D29=0,"",SUMIFS('Player Game Log'!$F$4:$F$603,'Player Game Log'!$E$4:$E$603,C29))</f>
        <v>0</v>
      </c>
      <c r="H29" s="8">
        <f>IF($D29=0,"",SUMIFS('Player Game Log'!$G$4:$G$603,'Player Game Log'!$E$4:$E$603,C29))</f>
        <v>2</v>
      </c>
      <c r="I29" s="24">
        <f t="shared" si="1"/>
        <v>0</v>
      </c>
      <c r="J29" s="8">
        <f>IF($D29=0,"",SUMIFS('Player Game Log'!$H$4:$H$603,'Player Game Log'!$E$4:$E$603,C29))</f>
        <v>0</v>
      </c>
      <c r="K29" s="8">
        <f>IF($D29=0,"",SUMIFS('Player Game Log'!$I$4:$I$603,'Player Game Log'!$E$4:$E$603,C29))</f>
        <v>2</v>
      </c>
      <c r="L29" s="24">
        <f t="shared" si="2"/>
        <v>0</v>
      </c>
      <c r="M29" s="8">
        <f>IF($D29=0,"",SUMIFS('Player Game Log'!$R$4:$R$603,'Player Game Log'!$E$4:$E$603,C29))</f>
        <v>0</v>
      </c>
      <c r="N29" s="8">
        <f>IF($D29=0,"",SUMIFS('Player Game Log'!$S$4:$S$603,'Player Game Log'!$E$4:$E$603,C29))</f>
        <v>4</v>
      </c>
      <c r="O29" s="24">
        <f t="shared" si="3"/>
        <v>0</v>
      </c>
      <c r="P29" s="8">
        <f>IF($D29=0,"",SUMIFS('Player Game Log'!$J$4:$J$603,'Player Game Log'!$E$4:$E$603,C29))</f>
        <v>0</v>
      </c>
      <c r="Q29" s="8">
        <f>IF($D29=0,"",SUMIFS('Player Game Log'!$K$4:$K$603,'Player Game Log'!$E$4:$E$603,C29))</f>
        <v>0</v>
      </c>
      <c r="R29" s="24" t="str">
        <f t="shared" si="4"/>
        <v/>
      </c>
      <c r="S29" s="8">
        <f>IF($D29=0,"",SUMIFS('Player Game Log'!$L$4:$L$603,'Player Game Log'!$E$4:$E$603,C29))</f>
        <v>6</v>
      </c>
      <c r="T29" s="8">
        <f>IF($D29=0,"",SUMIFS('Player Game Log'!$M$4:$M$603,'Player Game Log'!$E$4:$E$603,C29))</f>
        <v>0</v>
      </c>
      <c r="U29" s="27">
        <f t="shared" si="5"/>
        <v>6</v>
      </c>
      <c r="V29" s="23">
        <f t="shared" si="6"/>
        <v>3</v>
      </c>
      <c r="W29" s="8">
        <f>IF($D29=0,"",SUMIFS('Player Game Log'!$N$4:$N$603,'Player Game Log'!$E$4:$E$603,C29))</f>
        <v>0</v>
      </c>
      <c r="X29" s="8">
        <f>IF($D29=0,"",SUMIFS('Player Game Log'!$O$4:$O$603,'Player Game Log'!$E$4:$E$603,C29))</f>
        <v>1</v>
      </c>
      <c r="Y29" s="8">
        <f>IF($D29=0,"",SUMIFS('Player Game Log'!$P$4:$P$603,'Player Game Log'!$E$4:$E$603,C29))</f>
        <v>0</v>
      </c>
      <c r="Z29" s="8">
        <f>IF($D29=0,"",SUMIFS('Player Game Log'!$Q$4:$Q$603,'Player Game Log'!$E$4:$E$603,C29))</f>
        <v>0</v>
      </c>
      <c r="AA29" s="27">
        <f t="shared" si="7"/>
        <v>0</v>
      </c>
      <c r="AB29" s="40" t="str" cm="1">
        <f t="array" ref="AB29">_xlfn.IFS(D29=0,"",W29+X29=0,"BALL WATCHER",X29=0,"PASSING GOD",W29=0,"BUTTER FINGERS",W29+X29&gt;0,W29/X29)</f>
        <v>BUTTER FINGERS</v>
      </c>
      <c r="AC29" s="23">
        <f t="shared" si="8"/>
        <v>0</v>
      </c>
    </row>
    <row r="30" spans="1:29" ht="15" customHeight="1">
      <c r="A30" s="8">
        <f>Roster!A17</f>
        <v>13</v>
      </c>
      <c r="B30" s="8" t="str">
        <f>IF(Roster!B17="","",Roster!B17)</f>
        <v/>
      </c>
      <c r="C30" s="10" t="str">
        <f>IF(Roster!C17="","",Roster!C17)</f>
        <v>Steven</v>
      </c>
      <c r="D30" s="8" cm="1">
        <f t="array" ref="D30">SUMPRODUCT(('Player Game Log'!$E$4:$E$603=C30)*('Player Game Log'!$A$4:$A$603&gt;0)*--_xlfn.BYROW('Player Game Log'!$F$4:$P$603,_xlfn.LAMBDA(_xlpm.r,SUM(--(_xlpm.r&lt;&gt;""))&gt;0)))</f>
        <v>2</v>
      </c>
      <c r="E30" s="8">
        <f>IF($D30=0,"",SUMIFS('Player Game Log'!$T$4:$T$603,'Player Game Log'!$E$4:$E$603,C30))</f>
        <v>0</v>
      </c>
      <c r="F30" s="23">
        <f t="shared" si="0"/>
        <v>0</v>
      </c>
      <c r="G30" s="8">
        <f>IF($D30=0,"",SUMIFS('Player Game Log'!$F$4:$F$603,'Player Game Log'!$E$4:$E$603,C30))</f>
        <v>0</v>
      </c>
      <c r="H30" s="8">
        <f>IF($D30=0,"",SUMIFS('Player Game Log'!$G$4:$G$603,'Player Game Log'!$E$4:$E$603,C30))</f>
        <v>0</v>
      </c>
      <c r="I30" s="24" t="str">
        <f t="shared" si="1"/>
        <v/>
      </c>
      <c r="J30" s="8">
        <f>IF($D30=0,"",SUMIFS('Player Game Log'!$H$4:$H$603,'Player Game Log'!$E$4:$E$603,C30))</f>
        <v>0</v>
      </c>
      <c r="K30" s="8">
        <f>IF($D30=0,"",SUMIFS('Player Game Log'!$I$4:$I$603,'Player Game Log'!$E$4:$E$603,C30))</f>
        <v>2</v>
      </c>
      <c r="L30" s="24">
        <f t="shared" si="2"/>
        <v>0</v>
      </c>
      <c r="M30" s="8">
        <f>IF($D30=0,"",SUMIFS('Player Game Log'!$R$4:$R$603,'Player Game Log'!$E$4:$E$603,C30))</f>
        <v>0</v>
      </c>
      <c r="N30" s="8">
        <f>IF($D30=0,"",SUMIFS('Player Game Log'!$S$4:$S$603,'Player Game Log'!$E$4:$E$603,C30))</f>
        <v>2</v>
      </c>
      <c r="O30" s="24">
        <f t="shared" si="3"/>
        <v>0</v>
      </c>
      <c r="P30" s="8">
        <f>IF($D30=0,"",SUMIFS('Player Game Log'!$J$4:$J$603,'Player Game Log'!$E$4:$E$603,C30))</f>
        <v>0</v>
      </c>
      <c r="Q30" s="8">
        <f>IF($D30=0,"",SUMIFS('Player Game Log'!$K$4:$K$603,'Player Game Log'!$E$4:$E$603,C30))</f>
        <v>0</v>
      </c>
      <c r="R30" s="24" t="str">
        <f t="shared" si="4"/>
        <v/>
      </c>
      <c r="S30" s="8">
        <f>IF($D30=0,"",SUMIFS('Player Game Log'!$L$4:$L$603,'Player Game Log'!$E$4:$E$603,C30))</f>
        <v>1</v>
      </c>
      <c r="T30" s="8">
        <f>IF($D30=0,"",SUMIFS('Player Game Log'!$M$4:$M$603,'Player Game Log'!$E$4:$E$603,C30))</f>
        <v>1</v>
      </c>
      <c r="U30" s="27">
        <f t="shared" si="5"/>
        <v>2</v>
      </c>
      <c r="V30" s="23">
        <f t="shared" si="6"/>
        <v>1</v>
      </c>
      <c r="W30" s="8">
        <f>IF($D30=0,"",SUMIFS('Player Game Log'!$N$4:$N$603,'Player Game Log'!$E$4:$E$603,C30))</f>
        <v>0</v>
      </c>
      <c r="X30" s="8">
        <f>IF($D30=0,"",SUMIFS('Player Game Log'!$O$4:$O$603,'Player Game Log'!$E$4:$E$603,C30))</f>
        <v>0</v>
      </c>
      <c r="Y30" s="8">
        <f>IF($D30=0,"",SUMIFS('Player Game Log'!$P$4:$P$603,'Player Game Log'!$E$4:$E$603,C30))</f>
        <v>0</v>
      </c>
      <c r="Z30" s="8">
        <f>IF($D30=0,"",SUMIFS('Player Game Log'!$Q$4:$Q$603,'Player Game Log'!$E$4:$E$603,C30))</f>
        <v>0</v>
      </c>
      <c r="AA30" s="27">
        <f t="shared" si="7"/>
        <v>0</v>
      </c>
      <c r="AB30" s="40" t="str" cm="1">
        <f t="array" ref="AB30">_xlfn.IFS(D30=0,"",W30+X30=0,"BALL WATCHER",X30=0,"PASSING GOD",W30=0,"BUTTER FINGERS",W30+X30&gt;0,W30/X30)</f>
        <v>BALL WATCHER</v>
      </c>
      <c r="AC30" s="23">
        <f t="shared" si="8"/>
        <v>0</v>
      </c>
    </row>
    <row r="31" spans="1:29" ht="15" customHeight="1">
      <c r="A31" s="8">
        <f>Roster!A18</f>
        <v>14</v>
      </c>
      <c r="B31" s="8" t="str">
        <f>IF(Roster!B18="","",Roster!B18)</f>
        <v/>
      </c>
      <c r="C31" s="10" t="str">
        <f>IF(Roster!C18="","",Roster!C18)</f>
        <v>Vee</v>
      </c>
      <c r="D31" s="8" cm="1">
        <f t="array" ref="D31">SUMPRODUCT(('Player Game Log'!$E$4:$E$603=C31)*('Player Game Log'!$A$4:$A$603&gt;0)*--_xlfn.BYROW('Player Game Log'!$F$4:$P$603,_xlfn.LAMBDA(_xlpm.r,SUM(--(_xlpm.r&lt;&gt;""))&gt;0)))</f>
        <v>1</v>
      </c>
      <c r="E31" s="8">
        <f>IF($D31=0,"",SUMIFS('Player Game Log'!$T$4:$T$603,'Player Game Log'!$E$4:$E$603,C31))</f>
        <v>3</v>
      </c>
      <c r="F31" s="23">
        <f t="shared" si="0"/>
        <v>3</v>
      </c>
      <c r="G31" s="8">
        <f>IF($D31=0,"",SUMIFS('Player Game Log'!$F$4:$F$603,'Player Game Log'!$E$4:$E$603,C31))</f>
        <v>1</v>
      </c>
      <c r="H31" s="8">
        <f>IF($D31=0,"",SUMIFS('Player Game Log'!$G$4:$G$603,'Player Game Log'!$E$4:$E$603,C31))</f>
        <v>4</v>
      </c>
      <c r="I31" s="24">
        <f t="shared" si="1"/>
        <v>0.25</v>
      </c>
      <c r="J31" s="8">
        <f>IF($D31=0,"",SUMIFS('Player Game Log'!$H$4:$H$603,'Player Game Log'!$E$4:$E$603,C31))</f>
        <v>0</v>
      </c>
      <c r="K31" s="8">
        <f>IF($D31=0,"",SUMIFS('Player Game Log'!$I$4:$I$603,'Player Game Log'!$E$4:$E$603,C31))</f>
        <v>1</v>
      </c>
      <c r="L31" s="24">
        <f t="shared" si="2"/>
        <v>0</v>
      </c>
      <c r="M31" s="8">
        <f>IF($D31=0,"",SUMIFS('Player Game Log'!$R$4:$R$603,'Player Game Log'!$E$4:$E$603,C31))</f>
        <v>1</v>
      </c>
      <c r="N31" s="8">
        <f>IF($D31=0,"",SUMIFS('Player Game Log'!$S$4:$S$603,'Player Game Log'!$E$4:$E$603,C31))</f>
        <v>5</v>
      </c>
      <c r="O31" s="24">
        <f t="shared" si="3"/>
        <v>0.2</v>
      </c>
      <c r="P31" s="8">
        <f>IF($D31=0,"",SUMIFS('Player Game Log'!$J$4:$J$603,'Player Game Log'!$E$4:$E$603,C31))</f>
        <v>1</v>
      </c>
      <c r="Q31" s="8">
        <f>IF($D31=0,"",SUMIFS('Player Game Log'!$K$4:$K$603,'Player Game Log'!$E$4:$E$603,C31))</f>
        <v>3</v>
      </c>
      <c r="R31" s="24">
        <f t="shared" si="4"/>
        <v>0.33333333333333331</v>
      </c>
      <c r="S31" s="8">
        <f>IF($D31=0,"",SUMIFS('Player Game Log'!$L$4:$L$603,'Player Game Log'!$E$4:$E$603,C31))</f>
        <v>9</v>
      </c>
      <c r="T31" s="8">
        <f>IF($D31=0,"",SUMIFS('Player Game Log'!$M$4:$M$603,'Player Game Log'!$E$4:$E$603,C31))</f>
        <v>3</v>
      </c>
      <c r="U31" s="27">
        <f t="shared" si="5"/>
        <v>12</v>
      </c>
      <c r="V31" s="23">
        <f t="shared" si="6"/>
        <v>12</v>
      </c>
      <c r="W31" s="8">
        <f>IF($D31=0,"",SUMIFS('Player Game Log'!$N$4:$N$603,'Player Game Log'!$E$4:$E$603,C31))</f>
        <v>1</v>
      </c>
      <c r="X31" s="8">
        <f>IF($D31=0,"",SUMIFS('Player Game Log'!$O$4:$O$603,'Player Game Log'!$E$4:$E$603,C31))</f>
        <v>1</v>
      </c>
      <c r="Y31" s="8">
        <f>IF($D31=0,"",SUMIFS('Player Game Log'!$P$4:$P$603,'Player Game Log'!$E$4:$E$603,C31))</f>
        <v>0</v>
      </c>
      <c r="Z31" s="8">
        <f>IF($D31=0,"",SUMIFS('Player Game Log'!$Q$4:$Q$603,'Player Game Log'!$E$4:$E$603,C31))</f>
        <v>0</v>
      </c>
      <c r="AA31" s="27">
        <f t="shared" si="7"/>
        <v>0</v>
      </c>
      <c r="AB31" s="40" cm="1">
        <f t="array" ref="AB31">_xlfn.IFS(D31=0,"",W31+X31=0,"BALL WATCHER",X31=0,"PASSING GOD",W31=0,"BUTTER FINGERS",W31+X31&gt;0,W31/X31)</f>
        <v>1</v>
      </c>
      <c r="AC31" s="23">
        <f t="shared" si="8"/>
        <v>0</v>
      </c>
    </row>
    <row r="32" spans="1:29">
      <c r="A32" s="8">
        <f>Roster!A19</f>
        <v>15</v>
      </c>
      <c r="B32" s="8" t="str">
        <f>IF(Roster!B19="","",Roster!B19)</f>
        <v/>
      </c>
      <c r="C32" s="10" t="str">
        <f>IF(Roster!C19="","",Roster!C19)</f>
        <v>Michael</v>
      </c>
      <c r="D32" s="8" cm="1">
        <f t="array" ref="D32">SUMPRODUCT(('Player Game Log'!$E$4:$E$603=C32)*('Player Game Log'!$A$4:$A$603&gt;0)*--_xlfn.BYROW('Player Game Log'!$F$4:$P$603,_xlfn.LAMBDA(_xlpm.r,SUM(--(_xlpm.r&lt;&gt;""))&gt;0)))</f>
        <v>0</v>
      </c>
      <c r="E32" s="8" t="str">
        <f>IF($D32=0,"",SUMIFS('Player Game Log'!$T$4:$T$603,'Player Game Log'!$E$4:$E$603,C32))</f>
        <v/>
      </c>
      <c r="F32" s="23" t="str">
        <f t="shared" si="0"/>
        <v/>
      </c>
      <c r="G32" s="8" t="str">
        <f>IF($D32=0,"",SUMIFS('Player Game Log'!$F$4:$F$603,'Player Game Log'!$E$4:$E$603,C32))</f>
        <v/>
      </c>
      <c r="H32" s="8" t="str">
        <f>IF($D32=0,"",SUMIFS('Player Game Log'!$G$4:$G$603,'Player Game Log'!$E$4:$E$603,C32))</f>
        <v/>
      </c>
      <c r="I32" s="24" t="str">
        <f t="shared" si="1"/>
        <v/>
      </c>
      <c r="J32" s="8" t="str">
        <f>IF($D32=0,"",SUMIFS('Player Game Log'!$H$4:$H$603,'Player Game Log'!$E$4:$E$603,C32))</f>
        <v/>
      </c>
      <c r="K32" s="8" t="str">
        <f>IF($D32=0,"",SUMIFS('Player Game Log'!$I$4:$I$603,'Player Game Log'!$E$4:$E$603,C32))</f>
        <v/>
      </c>
      <c r="L32" s="24" t="str">
        <f t="shared" si="2"/>
        <v/>
      </c>
      <c r="M32" s="8" t="str">
        <f>IF($D32=0,"",SUMIFS('Player Game Log'!$R$4:$R$603,'Player Game Log'!$E$4:$E$603,C32))</f>
        <v/>
      </c>
      <c r="N32" s="8" t="str">
        <f>IF($D32=0,"",SUMIFS('Player Game Log'!$S$4:$S$603,'Player Game Log'!$E$4:$E$603,C32))</f>
        <v/>
      </c>
      <c r="O32" s="24" t="str">
        <f t="shared" si="3"/>
        <v/>
      </c>
      <c r="P32" s="8" t="str">
        <f>IF($D32=0,"",SUMIFS('Player Game Log'!$J$4:$J$603,'Player Game Log'!$E$4:$E$603,C32))</f>
        <v/>
      </c>
      <c r="Q32" s="8" t="str">
        <f>IF($D32=0,"",SUMIFS('Player Game Log'!$K$4:$K$603,'Player Game Log'!$E$4:$E$603,C32))</f>
        <v/>
      </c>
      <c r="R32" s="24" t="str">
        <f t="shared" si="4"/>
        <v/>
      </c>
      <c r="S32" s="8" t="str">
        <f>IF($D32=0,"",SUMIFS('Player Game Log'!$L$4:$L$603,'Player Game Log'!$E$4:$E$603,C32))</f>
        <v/>
      </c>
      <c r="T32" s="8" t="str">
        <f>IF($D32=0,"",SUMIFS('Player Game Log'!$M$4:$M$603,'Player Game Log'!$E$4:$E$603,C32))</f>
        <v/>
      </c>
      <c r="U32" s="27" t="str">
        <f t="shared" si="5"/>
        <v/>
      </c>
      <c r="V32" s="23" t="str">
        <f t="shared" si="6"/>
        <v/>
      </c>
      <c r="W32" s="8" t="str">
        <f>IF($D32=0,"",SUMIFS('Player Game Log'!$N$4:$N$603,'Player Game Log'!$E$4:$E$603,C32))</f>
        <v/>
      </c>
      <c r="X32" s="8" t="str">
        <f>IF($D32=0,"",SUMIFS('Player Game Log'!$O$4:$O$603,'Player Game Log'!$E$4:$E$603,C32))</f>
        <v/>
      </c>
      <c r="Y32" s="8" t="str">
        <f>IF($D32=0,"",SUMIFS('Player Game Log'!$P$4:$P$603,'Player Game Log'!$E$4:$E$603,C32))</f>
        <v/>
      </c>
      <c r="Z32" s="8" t="str">
        <f>IF($D32=0,"",SUMIFS('Player Game Log'!$Q$4:$Q$603,'Player Game Log'!$E$4:$E$603,C32))</f>
        <v/>
      </c>
      <c r="AA32" s="27" t="str">
        <f t="shared" si="7"/>
        <v/>
      </c>
      <c r="AB32" s="40" t="str" cm="1">
        <f t="array" ref="AB32">_xlfn.IFS(D32=0,"",W32+X32=0,"BALL WATCHER",X32=0,"PASSING GOD",W32=0,"BUTTER FINGERS",W32+X32&gt;0,W32/X32)</f>
        <v/>
      </c>
      <c r="AC32" s="23" t="str">
        <f t="shared" si="8"/>
        <v/>
      </c>
    </row>
    <row r="33" spans="1:29">
      <c r="A33" s="8">
        <f>Roster!A20</f>
        <v>16</v>
      </c>
      <c r="B33" s="8" t="str">
        <f>IF(Roster!B20="","",Roster!B20)</f>
        <v/>
      </c>
      <c r="C33" s="10" t="str">
        <f>IF(Roster!C20="","",Roster!C20)</f>
        <v>Eddie</v>
      </c>
      <c r="D33" s="8" cm="1">
        <f t="array" ref="D33">SUMPRODUCT(('Player Game Log'!$E$4:$E$603=C33)*('Player Game Log'!$A$4:$A$603&gt;0)*--_xlfn.BYROW('Player Game Log'!$F$4:$P$603,_xlfn.LAMBDA(_xlpm.r,SUM(--(_xlpm.r&lt;&gt;""))&gt;0)))</f>
        <v>0</v>
      </c>
      <c r="E33" s="8" t="str">
        <f>IF($D33=0,"",SUMIFS('Player Game Log'!$T$4:$T$603,'Player Game Log'!$E$4:$E$603,C33))</f>
        <v/>
      </c>
      <c r="F33" s="23" t="str">
        <f t="shared" si="0"/>
        <v/>
      </c>
      <c r="G33" s="8" t="str">
        <f>IF($D33=0,"",SUMIFS('Player Game Log'!$F$4:$F$603,'Player Game Log'!$E$4:$E$603,C33))</f>
        <v/>
      </c>
      <c r="H33" s="8" t="str">
        <f>IF($D33=0,"",SUMIFS('Player Game Log'!$G$4:$G$603,'Player Game Log'!$E$4:$E$603,C33))</f>
        <v/>
      </c>
      <c r="I33" s="24" t="str">
        <f t="shared" si="1"/>
        <v/>
      </c>
      <c r="J33" s="8" t="str">
        <f>IF($D33=0,"",SUMIFS('Player Game Log'!$H$4:$H$603,'Player Game Log'!$E$4:$E$603,C33))</f>
        <v/>
      </c>
      <c r="K33" s="8" t="str">
        <f>IF($D33=0,"",SUMIFS('Player Game Log'!$I$4:$I$603,'Player Game Log'!$E$4:$E$603,C33))</f>
        <v/>
      </c>
      <c r="L33" s="24" t="str">
        <f t="shared" si="2"/>
        <v/>
      </c>
      <c r="M33" s="8" t="str">
        <f>IF($D33=0,"",SUMIFS('Player Game Log'!$R$4:$R$603,'Player Game Log'!$E$4:$E$603,C33))</f>
        <v/>
      </c>
      <c r="N33" s="8" t="str">
        <f>IF($D33=0,"",SUMIFS('Player Game Log'!$S$4:$S$603,'Player Game Log'!$E$4:$E$603,C33))</f>
        <v/>
      </c>
      <c r="O33" s="24" t="str">
        <f t="shared" si="3"/>
        <v/>
      </c>
      <c r="P33" s="8" t="str">
        <f>IF($D33=0,"",SUMIFS('Player Game Log'!$J$4:$J$603,'Player Game Log'!$E$4:$E$603,C33))</f>
        <v/>
      </c>
      <c r="Q33" s="8" t="str">
        <f>IF($D33=0,"",SUMIFS('Player Game Log'!$K$4:$K$603,'Player Game Log'!$E$4:$E$603,C33))</f>
        <v/>
      </c>
      <c r="R33" s="24" t="str">
        <f t="shared" si="4"/>
        <v/>
      </c>
      <c r="S33" s="8" t="str">
        <f>IF($D33=0,"",SUMIFS('Player Game Log'!$L$4:$L$603,'Player Game Log'!$E$4:$E$603,C33))</f>
        <v/>
      </c>
      <c r="T33" s="8" t="str">
        <f>IF($D33=0,"",SUMIFS('Player Game Log'!$M$4:$M$603,'Player Game Log'!$E$4:$E$603,C33))</f>
        <v/>
      </c>
      <c r="U33" s="27" t="str">
        <f t="shared" si="5"/>
        <v/>
      </c>
      <c r="V33" s="23" t="str">
        <f t="shared" si="6"/>
        <v/>
      </c>
      <c r="W33" s="8" t="str">
        <f>IF($D33=0,"",SUMIFS('Player Game Log'!$N$4:$N$603,'Player Game Log'!$E$4:$E$603,C33))</f>
        <v/>
      </c>
      <c r="X33" s="8" t="str">
        <f>IF($D33=0,"",SUMIFS('Player Game Log'!$O$4:$O$603,'Player Game Log'!$E$4:$E$603,C33))</f>
        <v/>
      </c>
      <c r="Y33" s="8" t="str">
        <f>IF($D33=0,"",SUMIFS('Player Game Log'!$P$4:$P$603,'Player Game Log'!$E$4:$E$603,C33))</f>
        <v/>
      </c>
      <c r="Z33" s="8" t="str">
        <f>IF($D33=0,"",SUMIFS('Player Game Log'!$Q$4:$Q$603,'Player Game Log'!$E$4:$E$603,C33))</f>
        <v/>
      </c>
      <c r="AA33" s="27" t="str">
        <f t="shared" si="7"/>
        <v/>
      </c>
      <c r="AB33" s="40" t="str" cm="1">
        <f t="array" ref="AB33">_xlfn.IFS(D33=0,"",W33+X33=0,"BALL WATCHER",X33=0,"PASSING GOD",W33=0,"BUTTER FINGERS",W33+X33&gt;0,W33/X33)</f>
        <v/>
      </c>
      <c r="AC33" s="23" t="str">
        <f t="shared" si="8"/>
        <v/>
      </c>
    </row>
    <row r="34" spans="1:29">
      <c r="A34" s="8">
        <f>Roster!A21</f>
        <v>17</v>
      </c>
      <c r="B34" s="8" t="str">
        <f>IF(Roster!B21="","",Roster!B21)</f>
        <v/>
      </c>
      <c r="C34" s="10" t="str">
        <f>IF(Roster!C21="","",Roster!C21)</f>
        <v>Stephen Zhong</v>
      </c>
      <c r="D34" s="8" cm="1">
        <f t="array" ref="D34">SUMPRODUCT(('Player Game Log'!$E$4:$E$603=C34)*('Player Game Log'!$A$4:$A$603&gt;0)*--_xlfn.BYROW('Player Game Log'!$F$4:$P$603,_xlfn.LAMBDA(_xlpm.r,SUM(--(_xlpm.r&lt;&gt;""))&gt;0)))</f>
        <v>0</v>
      </c>
      <c r="E34" s="8" t="str">
        <f>IF($D34=0,"",SUMIFS('Player Game Log'!$T$4:$T$603,'Player Game Log'!$E$4:$E$603,C34))</f>
        <v/>
      </c>
      <c r="F34" s="23" t="str">
        <f t="shared" si="0"/>
        <v/>
      </c>
      <c r="G34" s="8" t="str">
        <f>IF($D34=0,"",SUMIFS('Player Game Log'!$F$4:$F$603,'Player Game Log'!$E$4:$E$603,C34))</f>
        <v/>
      </c>
      <c r="H34" s="8" t="str">
        <f>IF($D34=0,"",SUMIFS('Player Game Log'!$G$4:$G$603,'Player Game Log'!$E$4:$E$603,C34))</f>
        <v/>
      </c>
      <c r="I34" s="24" t="str">
        <f t="shared" si="1"/>
        <v/>
      </c>
      <c r="J34" s="8" t="str">
        <f>IF($D34=0,"",SUMIFS('Player Game Log'!$H$4:$H$603,'Player Game Log'!$E$4:$E$603,C34))</f>
        <v/>
      </c>
      <c r="K34" s="8" t="str">
        <f>IF($D34=0,"",SUMIFS('Player Game Log'!$I$4:$I$603,'Player Game Log'!$E$4:$E$603,C34))</f>
        <v/>
      </c>
      <c r="L34" s="24" t="str">
        <f t="shared" si="2"/>
        <v/>
      </c>
      <c r="M34" s="8" t="str">
        <f>IF($D34=0,"",SUMIFS('Player Game Log'!$R$4:$R$603,'Player Game Log'!$E$4:$E$603,C34))</f>
        <v/>
      </c>
      <c r="N34" s="8" t="str">
        <f>IF($D34=0,"",SUMIFS('Player Game Log'!$S$4:$S$603,'Player Game Log'!$E$4:$E$603,C34))</f>
        <v/>
      </c>
      <c r="O34" s="24" t="str">
        <f t="shared" si="3"/>
        <v/>
      </c>
      <c r="P34" s="8" t="str">
        <f>IF($D34=0,"",SUMIFS('Player Game Log'!$J$4:$J$603,'Player Game Log'!$E$4:$E$603,C34))</f>
        <v/>
      </c>
      <c r="Q34" s="8" t="str">
        <f>IF($D34=0,"",SUMIFS('Player Game Log'!$K$4:$K$603,'Player Game Log'!$E$4:$E$603,C34))</f>
        <v/>
      </c>
      <c r="R34" s="24" t="str">
        <f t="shared" si="4"/>
        <v/>
      </c>
      <c r="S34" s="8" t="str">
        <f>IF($D34=0,"",SUMIFS('Player Game Log'!$L$4:$L$603,'Player Game Log'!$E$4:$E$603,C34))</f>
        <v/>
      </c>
      <c r="T34" s="8" t="str">
        <f>IF($D34=0,"",SUMIFS('Player Game Log'!$M$4:$M$603,'Player Game Log'!$E$4:$E$603,C34))</f>
        <v/>
      </c>
      <c r="U34" s="27" t="str">
        <f t="shared" si="5"/>
        <v/>
      </c>
      <c r="V34" s="23" t="str">
        <f t="shared" si="6"/>
        <v/>
      </c>
      <c r="W34" s="8" t="str">
        <f>IF($D34=0,"",SUMIFS('Player Game Log'!$N$4:$N$603,'Player Game Log'!$E$4:$E$603,C34))</f>
        <v/>
      </c>
      <c r="X34" s="8" t="str">
        <f>IF($D34=0,"",SUMIFS('Player Game Log'!$O$4:$O$603,'Player Game Log'!$E$4:$E$603,C34))</f>
        <v/>
      </c>
      <c r="Y34" s="8" t="str">
        <f>IF($D34=0,"",SUMIFS('Player Game Log'!$P$4:$P$603,'Player Game Log'!$E$4:$E$603,C34))</f>
        <v/>
      </c>
      <c r="Z34" s="8" t="str">
        <f>IF($D34=0,"",SUMIFS('Player Game Log'!$Q$4:$Q$603,'Player Game Log'!$E$4:$E$603,C34))</f>
        <v/>
      </c>
      <c r="AA34" s="27" t="str">
        <f t="shared" si="7"/>
        <v/>
      </c>
      <c r="AB34" s="40" t="str" cm="1">
        <f t="array" ref="AB34">_xlfn.IFS(D34=0,"",W34+X34=0,"BALL WATCHER",X34=0,"PASSING GOD",W34=0,"BUTTER FINGERS",W34+X34&gt;0,W34/X34)</f>
        <v/>
      </c>
      <c r="AC34" s="23" t="str">
        <f t="shared" si="8"/>
        <v/>
      </c>
    </row>
    <row r="35" spans="1:29">
      <c r="A35" s="8">
        <f>Roster!A22</f>
        <v>18</v>
      </c>
      <c r="B35" s="8" t="str">
        <f>IF(Roster!B22="","",Roster!B22)</f>
        <v/>
      </c>
      <c r="C35" s="10" t="str">
        <f>IF(Roster!C22="","",Roster!C22)</f>
        <v/>
      </c>
      <c r="D35" s="8" cm="1">
        <f t="array" ref="D35">SUMPRODUCT(('Player Game Log'!$E$4:$E$603=C35)*('Player Game Log'!$A$4:$A$603&gt;0)*--_xlfn.BYROW('Player Game Log'!$F$4:$P$603,_xlfn.LAMBDA(_xlpm.r,SUM(--(_xlpm.r&lt;&gt;""))&gt;0)))</f>
        <v>0</v>
      </c>
      <c r="E35" s="8" t="str">
        <f>IF($D35=0,"",SUMIFS('Player Game Log'!$T$4:$T$603,'Player Game Log'!$E$4:$E$603,C35))</f>
        <v/>
      </c>
      <c r="F35" s="23" t="str">
        <f t="shared" si="0"/>
        <v/>
      </c>
      <c r="G35" s="8" t="str">
        <f>IF($D35=0,"",SUMIFS('Player Game Log'!$F$4:$F$603,'Player Game Log'!$E$4:$E$603,C35))</f>
        <v/>
      </c>
      <c r="H35" s="8" t="str">
        <f>IF($D35=0,"",SUMIFS('Player Game Log'!$G$4:$G$603,'Player Game Log'!$E$4:$E$603,C35))</f>
        <v/>
      </c>
      <c r="I35" s="24" t="str">
        <f t="shared" si="1"/>
        <v/>
      </c>
      <c r="J35" s="8" t="str">
        <f>IF($D35=0,"",SUMIFS('Player Game Log'!$H$4:$H$603,'Player Game Log'!$E$4:$E$603,C35))</f>
        <v/>
      </c>
      <c r="K35" s="8" t="str">
        <f>IF($D35=0,"",SUMIFS('Player Game Log'!$I$4:$I$603,'Player Game Log'!$E$4:$E$603,C35))</f>
        <v/>
      </c>
      <c r="L35" s="24" t="str">
        <f t="shared" si="2"/>
        <v/>
      </c>
      <c r="M35" s="8" t="str">
        <f>IF($D35=0,"",SUMIFS('Player Game Log'!$R$4:$R$603,'Player Game Log'!$E$4:$E$603,C35))</f>
        <v/>
      </c>
      <c r="N35" s="8" t="str">
        <f>IF($D35=0,"",SUMIFS('Player Game Log'!$S$4:$S$603,'Player Game Log'!$E$4:$E$603,C35))</f>
        <v/>
      </c>
      <c r="O35" s="24" t="str">
        <f t="shared" si="3"/>
        <v/>
      </c>
      <c r="P35" s="8" t="str">
        <f>IF($D35=0,"",SUMIFS('Player Game Log'!$J$4:$J$603,'Player Game Log'!$E$4:$E$603,C35))</f>
        <v/>
      </c>
      <c r="Q35" s="8" t="str">
        <f>IF($D35=0,"",SUMIFS('Player Game Log'!$K$4:$K$603,'Player Game Log'!$E$4:$E$603,C35))</f>
        <v/>
      </c>
      <c r="R35" s="24" t="str">
        <f t="shared" si="4"/>
        <v/>
      </c>
      <c r="S35" s="8" t="str">
        <f>IF($D35=0,"",SUMIFS('Player Game Log'!$L$4:$L$603,'Player Game Log'!$E$4:$E$603,C35))</f>
        <v/>
      </c>
      <c r="T35" s="8" t="str">
        <f>IF($D35=0,"",SUMIFS('Player Game Log'!$M$4:$M$603,'Player Game Log'!$E$4:$E$603,C35))</f>
        <v/>
      </c>
      <c r="U35" s="23" t="str">
        <f t="shared" si="5"/>
        <v/>
      </c>
      <c r="V35" s="23" t="str">
        <f t="shared" si="6"/>
        <v/>
      </c>
      <c r="W35" s="8" t="str">
        <f>IF($D35=0,"",SUMIFS('Player Game Log'!$N$4:$N$603,'Player Game Log'!$E$4:$E$603,C35))</f>
        <v/>
      </c>
      <c r="X35" s="8" t="str">
        <f>IF($D35=0,"",SUMIFS('Player Game Log'!$O$4:$O$603,'Player Game Log'!$E$4:$E$603,C35))</f>
        <v/>
      </c>
      <c r="Y35" s="8" t="str">
        <f>IF($D35=0,"",SUMIFS('Player Game Log'!$P$4:$P$603,'Player Game Log'!$E$4:$E$603,C35))</f>
        <v/>
      </c>
      <c r="Z35" s="8" t="str">
        <f>IF($D35=0,"",SUMIFS('Player Game Log'!$Q$4:$Q$603,'Player Game Log'!$E$4:$E$603,C35))</f>
        <v/>
      </c>
      <c r="AA35" s="27" t="str">
        <f t="shared" si="7"/>
        <v/>
      </c>
      <c r="AB35" s="40" t="str" cm="1">
        <f t="array" ref="AB35">_xlfn.IFS(D35=0,"",W35+X35=0,"BALL WATCHER",X35=0,"PASSING GOD",W35=0,"BUTTER FINGERS",W35+X35&gt;0,W35/X35)</f>
        <v/>
      </c>
      <c r="AC35" s="23" t="str">
        <f t="shared" si="8"/>
        <v/>
      </c>
    </row>
    <row r="36" spans="1:29">
      <c r="A36" s="8">
        <f>Roster!A23</f>
        <v>19</v>
      </c>
      <c r="B36" s="8" t="str">
        <f>IF(Roster!B23="","",Roster!B23)</f>
        <v/>
      </c>
      <c r="C36" s="10" t="str">
        <f>IF(Roster!C23="","",Roster!C23)</f>
        <v/>
      </c>
      <c r="D36" s="8" cm="1">
        <f t="array" ref="D36">SUMPRODUCT(('Player Game Log'!$E$4:$E$603=C36)*('Player Game Log'!$A$4:$A$603&gt;0)*--_xlfn.BYROW('Player Game Log'!$F$4:$P$603,_xlfn.LAMBDA(_xlpm.r,SUM(--(_xlpm.r&lt;&gt;""))&gt;0)))</f>
        <v>0</v>
      </c>
      <c r="E36" s="8" t="str">
        <f>IF($D36=0,"",SUMIFS('Player Game Log'!$T$4:$T$603,'Player Game Log'!$E$4:$E$603,C36))</f>
        <v/>
      </c>
      <c r="F36" s="23" t="str">
        <f t="shared" si="0"/>
        <v/>
      </c>
      <c r="G36" s="8" t="str">
        <f>IF($D36=0,"",SUMIFS('Player Game Log'!$F$4:$F$603,'Player Game Log'!$E$4:$E$603,C36))</f>
        <v/>
      </c>
      <c r="H36" s="8" t="str">
        <f>IF($D36=0,"",SUMIFS('Player Game Log'!$G$4:$G$603,'Player Game Log'!$E$4:$E$603,C36))</f>
        <v/>
      </c>
      <c r="I36" s="24" t="str">
        <f t="shared" si="1"/>
        <v/>
      </c>
      <c r="J36" s="8" t="str">
        <f>IF($D36=0,"",SUMIFS('Player Game Log'!$H$4:$H$603,'Player Game Log'!$E$4:$E$603,C36))</f>
        <v/>
      </c>
      <c r="K36" s="8" t="str">
        <f>IF($D36=0,"",SUMIFS('Player Game Log'!$I$4:$I$603,'Player Game Log'!$E$4:$E$603,C36))</f>
        <v/>
      </c>
      <c r="L36" s="24" t="str">
        <f t="shared" si="2"/>
        <v/>
      </c>
      <c r="M36" s="8" t="str">
        <f>IF($D36=0,"",SUMIFS('Player Game Log'!$R$4:$R$603,'Player Game Log'!$E$4:$E$603,C36))</f>
        <v/>
      </c>
      <c r="N36" s="8" t="str">
        <f>IF($D36=0,"",SUMIFS('Player Game Log'!$S$4:$S$603,'Player Game Log'!$E$4:$E$603,C36))</f>
        <v/>
      </c>
      <c r="O36" s="24" t="str">
        <f t="shared" si="3"/>
        <v/>
      </c>
      <c r="P36" s="8" t="str">
        <f>IF($D36=0,"",SUMIFS('Player Game Log'!$J$4:$J$603,'Player Game Log'!$E$4:$E$603,C36))</f>
        <v/>
      </c>
      <c r="Q36" s="8" t="str">
        <f>IF($D36=0,"",SUMIFS('Player Game Log'!$K$4:$K$603,'Player Game Log'!$E$4:$E$603,C36))</f>
        <v/>
      </c>
      <c r="R36" s="24" t="str">
        <f t="shared" si="4"/>
        <v/>
      </c>
      <c r="S36" s="8" t="str">
        <f>IF($D36=0,"",SUMIFS('Player Game Log'!$L$4:$L$603,'Player Game Log'!$E$4:$E$603,C36))</f>
        <v/>
      </c>
      <c r="T36" s="8" t="str">
        <f>IF($D36=0,"",SUMIFS('Player Game Log'!$M$4:$M$603,'Player Game Log'!$E$4:$E$603,C36))</f>
        <v/>
      </c>
      <c r="U36" s="23" t="str">
        <f t="shared" si="5"/>
        <v/>
      </c>
      <c r="V36" s="23" t="str">
        <f t="shared" si="6"/>
        <v/>
      </c>
      <c r="W36" s="8" t="str">
        <f>IF($D36=0,"",SUMIFS('Player Game Log'!$N$4:$N$603,'Player Game Log'!$E$4:$E$603,C36))</f>
        <v/>
      </c>
      <c r="X36" s="8" t="str">
        <f>IF($D36=0,"",SUMIFS('Player Game Log'!$O$4:$O$603,'Player Game Log'!$E$4:$E$603,C36))</f>
        <v/>
      </c>
      <c r="Y36" s="8" t="str">
        <f>IF($D36=0,"",SUMIFS('Player Game Log'!$P$4:$P$603,'Player Game Log'!$E$4:$E$603,C36))</f>
        <v/>
      </c>
      <c r="Z36" s="8" t="str">
        <f>IF($D36=0,"",SUMIFS('Player Game Log'!$Q$4:$Q$603,'Player Game Log'!$E$4:$E$603,C36))</f>
        <v/>
      </c>
      <c r="AA36" s="27" t="str">
        <f t="shared" si="7"/>
        <v/>
      </c>
      <c r="AB36" s="40" t="str" cm="1">
        <f t="array" ref="AB36">_xlfn.IFS(D36=0,"",W36+X36=0,"BALL WATCHER",X36=0,"PASSING GOD",W36=0,"BUTTER FINGERS",W36+X36&gt;0,W36/X36)</f>
        <v/>
      </c>
      <c r="AC36" s="23" t="str">
        <f t="shared" si="8"/>
        <v/>
      </c>
    </row>
    <row r="37" spans="1:29">
      <c r="A37" s="8">
        <f>Roster!A24</f>
        <v>20</v>
      </c>
      <c r="B37" s="8" t="str">
        <f>IF(Roster!B24="","",Roster!B24)</f>
        <v/>
      </c>
      <c r="C37" s="10" t="str">
        <f>IF(Roster!C24="","",Roster!C24)</f>
        <v/>
      </c>
      <c r="D37" s="8" cm="1">
        <f t="array" ref="D37">SUMPRODUCT(('Player Game Log'!$E$4:$E$603=C37)*('Player Game Log'!$A$4:$A$603&gt;0)*--_xlfn.BYROW('Player Game Log'!$F$4:$P$603,_xlfn.LAMBDA(_xlpm.r,SUM(--(_xlpm.r&lt;&gt;""))&gt;0)))</f>
        <v>0</v>
      </c>
      <c r="E37" s="8" t="str">
        <f>IF($D37=0,"",SUMIFS('Player Game Log'!$T$4:$T$603,'Player Game Log'!$E$4:$E$603,C37))</f>
        <v/>
      </c>
      <c r="F37" s="23" t="str">
        <f t="shared" si="0"/>
        <v/>
      </c>
      <c r="G37" s="8" t="str">
        <f>IF($D37=0,"",SUMIFS('Player Game Log'!$F$4:$F$603,'Player Game Log'!$E$4:$E$603,C37))</f>
        <v/>
      </c>
      <c r="H37" s="8" t="str">
        <f>IF($D37=0,"",SUMIFS('Player Game Log'!$G$4:$G$603,'Player Game Log'!$E$4:$E$603,C37))</f>
        <v/>
      </c>
      <c r="I37" s="24" t="str">
        <f t="shared" si="1"/>
        <v/>
      </c>
      <c r="J37" s="8" t="str">
        <f>IF($D37=0,"",SUMIFS('Player Game Log'!$H$4:$H$603,'Player Game Log'!$E$4:$E$603,C37))</f>
        <v/>
      </c>
      <c r="K37" s="8" t="str">
        <f>IF($D37=0,"",SUMIFS('Player Game Log'!$I$4:$I$603,'Player Game Log'!$E$4:$E$603,C37))</f>
        <v/>
      </c>
      <c r="L37" s="24" t="str">
        <f t="shared" si="2"/>
        <v/>
      </c>
      <c r="M37" s="8" t="str">
        <f>IF($D37=0,"",SUMIFS('Player Game Log'!$R$4:$R$603,'Player Game Log'!$E$4:$E$603,C37))</f>
        <v/>
      </c>
      <c r="N37" s="8" t="str">
        <f>IF($D37=0,"",SUMIFS('Player Game Log'!$S$4:$S$603,'Player Game Log'!$E$4:$E$603,C37))</f>
        <v/>
      </c>
      <c r="O37" s="24" t="str">
        <f t="shared" si="3"/>
        <v/>
      </c>
      <c r="P37" s="8" t="str">
        <f>IF($D37=0,"",SUMIFS('Player Game Log'!$J$4:$J$603,'Player Game Log'!$E$4:$E$603,C37))</f>
        <v/>
      </c>
      <c r="Q37" s="8" t="str">
        <f>IF($D37=0,"",SUMIFS('Player Game Log'!$K$4:$K$603,'Player Game Log'!$E$4:$E$603,C37))</f>
        <v/>
      </c>
      <c r="R37" s="24" t="str">
        <f t="shared" si="4"/>
        <v/>
      </c>
      <c r="S37" s="8" t="str">
        <f>IF($D37=0,"",SUMIFS('Player Game Log'!$L$4:$L$603,'Player Game Log'!$E$4:$E$603,C37))</f>
        <v/>
      </c>
      <c r="T37" s="8" t="str">
        <f>IF($D37=0,"",SUMIFS('Player Game Log'!$M$4:$M$603,'Player Game Log'!$E$4:$E$603,C37))</f>
        <v/>
      </c>
      <c r="U37" s="23" t="str">
        <f t="shared" si="5"/>
        <v/>
      </c>
      <c r="V37" s="23" t="str">
        <f t="shared" si="6"/>
        <v/>
      </c>
      <c r="W37" s="8" t="str">
        <f>IF($D37=0,"",SUMIFS('Player Game Log'!$N$4:$N$603,'Player Game Log'!$E$4:$E$603,C37))</f>
        <v/>
      </c>
      <c r="X37" s="8" t="str">
        <f>IF($D37=0,"",SUMIFS('Player Game Log'!$O$4:$O$603,'Player Game Log'!$E$4:$E$603,C37))</f>
        <v/>
      </c>
      <c r="Y37" s="8" t="str">
        <f>IF($D37=0,"",SUMIFS('Player Game Log'!$P$4:$P$603,'Player Game Log'!$E$4:$E$603,C37))</f>
        <v/>
      </c>
      <c r="Z37" s="8" t="str">
        <f>IF($D37=0,"",SUMIFS('Player Game Log'!$Q$4:$Q$603,'Player Game Log'!$E$4:$E$603,C37))</f>
        <v/>
      </c>
      <c r="AA37" s="27" t="str">
        <f t="shared" si="7"/>
        <v/>
      </c>
      <c r="AB37" s="40" t="str" cm="1">
        <f t="array" ref="AB37">_xlfn.IFS(D37=0,"",W37+X37=0,"BALL WATCHER",X37=0,"PASSING GOD",W37=0,"BUTTER FINGERS",W37+X37&gt;0,W37/X37)</f>
        <v/>
      </c>
      <c r="AC37" s="23" t="str">
        <f t="shared" si="8"/>
        <v/>
      </c>
    </row>
    <row r="38" spans="1:29">
      <c r="H38" s="29"/>
      <c r="K38" s="29"/>
    </row>
  </sheetData>
  <mergeCells count="2">
    <mergeCell ref="A1:Z1"/>
    <mergeCell ref="A16:AC16"/>
  </mergeCells>
  <conditionalFormatting sqref="C18:C37">
    <cfRule type="expression" dxfId="0" priority="1">
      <formula>D18&gt;0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Roster</vt:lpstr>
      <vt:lpstr>Game 1 Stats Sheet</vt:lpstr>
      <vt:lpstr>Game 2 Stats Sheet</vt:lpstr>
      <vt:lpstr>Game 3 Stats Sheet</vt:lpstr>
      <vt:lpstr>Player Game Log</vt:lpstr>
      <vt:lpstr>Team Game Log</vt:lpstr>
      <vt:lpstr>Season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Wong</dc:creator>
  <cp:lastModifiedBy>Markus Wong</cp:lastModifiedBy>
  <dcterms:created xsi:type="dcterms:W3CDTF">2026-06-30T08:10:07Z</dcterms:created>
  <dcterms:modified xsi:type="dcterms:W3CDTF">2026-08-04T11:23:57Z</dcterms:modified>
</cp:coreProperties>
</file>